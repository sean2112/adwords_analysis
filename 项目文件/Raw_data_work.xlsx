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enjian\githubprojects\Adword-Data-Analysis-main-test2\"/>
    </mc:Choice>
  </mc:AlternateContent>
  <xr:revisionPtr revIDLastSave="0" documentId="13_ncr:1_{E4A6C7A3-CFB0-4EEE-8C04-D02A2BBFAB97}" xr6:coauthVersionLast="47" xr6:coauthVersionMax="47" xr10:uidLastSave="{00000000-0000-0000-0000-000000000000}"/>
  <bookViews>
    <workbookView xWindow="14295" yWindow="0" windowWidth="14610" windowHeight="15585" activeTab="1" xr2:uid="{2660B2DA-D5F7-4812-B45B-C1AABDCABA38}"/>
  </bookViews>
  <sheets>
    <sheet name="Raw_data" sheetId="1" r:id="rId1"/>
    <sheet name="pivot_check" sheetId="3" r:id="rId2"/>
    <sheet name="Data_Dictionary" sheetId="2" r:id="rId3"/>
  </sheets>
  <calcPr calcId="181029"/>
  <pivotCaches>
    <pivotCache cacheId="5" r:id="rId4"/>
  </pivotCaches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3" i="1"/>
  <c r="T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" i="1"/>
  <c r="D132" i="1" l="1"/>
  <c r="D168" i="1"/>
  <c r="D108" i="1"/>
  <c r="D144" i="1"/>
  <c r="D192" i="1"/>
  <c r="D120" i="1"/>
  <c r="D180" i="1"/>
  <c r="D72" i="1"/>
  <c r="D122" i="1"/>
  <c r="D158" i="1"/>
  <c r="D182" i="1"/>
  <c r="D156" i="1"/>
  <c r="D194" i="1"/>
  <c r="D60" i="1"/>
  <c r="D170" i="1"/>
  <c r="D166" i="1"/>
  <c r="D130" i="1"/>
  <c r="D94" i="1"/>
  <c r="D70" i="1"/>
  <c r="D46" i="1"/>
  <c r="D22" i="1"/>
  <c r="D10" i="1"/>
  <c r="D146" i="1"/>
  <c r="D84" i="1"/>
  <c r="D24" i="1"/>
  <c r="D12" i="1"/>
  <c r="D190" i="1"/>
  <c r="D178" i="1"/>
  <c r="D154" i="1"/>
  <c r="D142" i="1"/>
  <c r="D118" i="1"/>
  <c r="D106" i="1"/>
  <c r="D82" i="1"/>
  <c r="D58" i="1"/>
  <c r="D34" i="1"/>
  <c r="D134" i="1"/>
  <c r="D200" i="1"/>
  <c r="D140" i="1"/>
  <c r="D128" i="1"/>
  <c r="D116" i="1"/>
  <c r="D104" i="1"/>
  <c r="D92" i="1"/>
  <c r="D80" i="1"/>
  <c r="D68" i="1"/>
  <c r="D56" i="1"/>
  <c r="D44" i="1"/>
  <c r="D32" i="1"/>
  <c r="D20" i="1"/>
  <c r="D8" i="1"/>
  <c r="D164" i="1"/>
  <c r="D187" i="1"/>
  <c r="D175" i="1"/>
  <c r="D163" i="1"/>
  <c r="D151" i="1"/>
  <c r="D139" i="1"/>
  <c r="D127" i="1"/>
  <c r="D115" i="1"/>
  <c r="D103" i="1"/>
  <c r="D91" i="1"/>
  <c r="D79" i="1"/>
  <c r="D67" i="1"/>
  <c r="D55" i="1"/>
  <c r="D43" i="1"/>
  <c r="D31" i="1"/>
  <c r="D19" i="1"/>
  <c r="D86" i="1"/>
  <c r="D188" i="1"/>
  <c r="D186" i="1"/>
  <c r="D174" i="1"/>
  <c r="D162" i="1"/>
  <c r="D150" i="1"/>
  <c r="D138" i="1"/>
  <c r="D126" i="1"/>
  <c r="D114" i="1"/>
  <c r="D102" i="1"/>
  <c r="D90" i="1"/>
  <c r="D78" i="1"/>
  <c r="D66" i="1"/>
  <c r="D54" i="1"/>
  <c r="D42" i="1"/>
  <c r="D30" i="1"/>
  <c r="D18" i="1"/>
  <c r="D6" i="1"/>
  <c r="D96" i="1"/>
  <c r="D176" i="1"/>
  <c r="D5" i="1"/>
  <c r="D36" i="1"/>
  <c r="D198" i="1"/>
  <c r="D196" i="1"/>
  <c r="D160" i="1"/>
  <c r="D124" i="1"/>
  <c r="D88" i="1"/>
  <c r="D52" i="1"/>
  <c r="D16" i="1"/>
  <c r="D183" i="1"/>
  <c r="D159" i="1"/>
  <c r="D111" i="1"/>
  <c r="D87" i="1"/>
  <c r="D51" i="1"/>
  <c r="D27" i="1"/>
  <c r="D3" i="1"/>
  <c r="D152" i="1"/>
  <c r="D184" i="1"/>
  <c r="D148" i="1"/>
  <c r="D112" i="1"/>
  <c r="D76" i="1"/>
  <c r="D28" i="1"/>
  <c r="D171" i="1"/>
  <c r="D135" i="1"/>
  <c r="D99" i="1"/>
  <c r="D63" i="1"/>
  <c r="D39" i="1"/>
  <c r="D15" i="1"/>
  <c r="D48" i="1"/>
  <c r="D199" i="1"/>
  <c r="D172" i="1"/>
  <c r="D136" i="1"/>
  <c r="D100" i="1"/>
  <c r="D64" i="1"/>
  <c r="D40" i="1"/>
  <c r="D41" i="1"/>
  <c r="D195" i="1"/>
  <c r="D147" i="1"/>
  <c r="D123" i="1"/>
  <c r="D75" i="1"/>
  <c r="D38" i="1"/>
  <c r="D169" i="1"/>
  <c r="D145" i="1"/>
  <c r="D121" i="1"/>
  <c r="D97" i="1"/>
  <c r="D73" i="1"/>
  <c r="D49" i="1"/>
  <c r="D13" i="1"/>
  <c r="D14" i="1"/>
  <c r="D157" i="1"/>
  <c r="D133" i="1"/>
  <c r="D109" i="1"/>
  <c r="D85" i="1"/>
  <c r="D61" i="1"/>
  <c r="D37" i="1"/>
  <c r="D25" i="1"/>
  <c r="D74" i="1"/>
  <c r="D143" i="1"/>
  <c r="D119" i="1"/>
  <c r="D95" i="1"/>
  <c r="D71" i="1"/>
  <c r="D47" i="1"/>
  <c r="D11" i="1"/>
  <c r="D50" i="1"/>
  <c r="D167" i="1"/>
  <c r="D131" i="1"/>
  <c r="D107" i="1"/>
  <c r="D83" i="1"/>
  <c r="D59" i="1"/>
  <c r="D35" i="1"/>
  <c r="D23" i="1"/>
  <c r="D62" i="1"/>
  <c r="D191" i="1"/>
  <c r="D189" i="1"/>
  <c r="D141" i="1"/>
  <c r="D105" i="1"/>
  <c r="D57" i="1"/>
  <c r="D45" i="1"/>
  <c r="D9" i="1"/>
  <c r="D193" i="1"/>
  <c r="D155" i="1"/>
  <c r="D2" i="1"/>
  <c r="D153" i="1"/>
  <c r="D117" i="1"/>
  <c r="D69" i="1"/>
  <c r="D21" i="1"/>
  <c r="D181" i="1"/>
  <c r="D165" i="1"/>
  <c r="D129" i="1"/>
  <c r="D81" i="1"/>
  <c r="D33" i="1"/>
  <c r="D7" i="1"/>
  <c r="D26" i="1"/>
  <c r="D179" i="1"/>
  <c r="D177" i="1"/>
  <c r="D93" i="1"/>
  <c r="D110" i="1"/>
  <c r="D197" i="1"/>
  <c r="D161" i="1"/>
  <c r="D125" i="1"/>
  <c r="D101" i="1"/>
  <c r="D65" i="1"/>
  <c r="D53" i="1"/>
  <c r="D17" i="1"/>
  <c r="D98" i="1"/>
  <c r="D185" i="1"/>
  <c r="D149" i="1"/>
  <c r="D113" i="1"/>
  <c r="D77" i="1"/>
  <c r="D29" i="1"/>
  <c r="D4" i="1"/>
  <c r="D173" i="1"/>
  <c r="D137" i="1"/>
  <c r="D89" i="1"/>
</calcChain>
</file>

<file path=xl/sharedStrings.xml><?xml version="1.0" encoding="utf-8"?>
<sst xmlns="http://schemas.openxmlformats.org/spreadsheetml/2006/main" count="1041" uniqueCount="516">
  <si>
    <t>Title</t>
  </si>
  <si>
    <t>Keyword</t>
  </si>
  <si>
    <t>Position</t>
  </si>
  <si>
    <t>Previous position</t>
  </si>
  <si>
    <t>Search Volume</t>
  </si>
  <si>
    <t>CPC</t>
  </si>
  <si>
    <t>Traffic</t>
  </si>
  <si>
    <t>Traffic (%)</t>
  </si>
  <si>
    <t>Traffic Cost</t>
  </si>
  <si>
    <t>Traffic Cost (%)</t>
  </si>
  <si>
    <t>Competition</t>
  </si>
  <si>
    <t>Number of Results</t>
  </si>
  <si>
    <t>Trends</t>
  </si>
  <si>
    <t>Last Seen</t>
  </si>
  <si>
    <t>Keyword Difficulty</t>
  </si>
  <si>
    <t>PMP® Exam &amp; Certification | Flat 40% Off - Enroll Now</t>
  </si>
  <si>
    <t>pmp certification</t>
  </si>
  <si>
    <t>[67,54,81,81,67,67,81,67,81,81,67,67]</t>
  </si>
  <si>
    <t>PMP® Exam &amp; Certification | Confidently Ace The PMP Exam</t>
  </si>
  <si>
    <t>PMP® Training &amp; Exam | Special Offer: Get $400 Off</t>
  </si>
  <si>
    <t>[54,81,81,67,67,81,67,81,81,67,67,81]</t>
  </si>
  <si>
    <t>CSM Scrum Master Course Online | Today's Offer: Up To 51% Off</t>
  </si>
  <si>
    <t>scrum master certification</t>
  </si>
  <si>
    <t>[44,54,54,44,44,44,54,54,44,54,44,44]</t>
  </si>
  <si>
    <t>PMP® Certification | Ace PMP Exam in 1st Attempt</t>
  </si>
  <si>
    <t>ITIL® 4 Certification Course | 100% Money Back Guarantee</t>
  </si>
  <si>
    <t>itil certification</t>
  </si>
  <si>
    <t>[66,66,66,66,66,81,66,66,66,66,66,54]</t>
  </si>
  <si>
    <t>certified scrum master certification</t>
  </si>
  <si>
    <t>[54,100,66,36,81,44,24,81,29,81,36,66]</t>
  </si>
  <si>
    <t>csm certification</t>
  </si>
  <si>
    <t>[100,29,44,44,44,36,36,36,36,36,29,36]</t>
  </si>
  <si>
    <t>PMP® Certification Course | Ace PMP Exam in 1st Attempt</t>
  </si>
  <si>
    <t>Simplilearn PMP® Course | Special Offer: Get $400 Off</t>
  </si>
  <si>
    <t>simplilearn</t>
  </si>
  <si>
    <t>[44,54,44,54,44,66,54,54,54,54,81,44]</t>
  </si>
  <si>
    <t>Simplilearn® Courses | Online Certification Courses</t>
  </si>
  <si>
    <t>PMP® Certification Course</t>
  </si>
  <si>
    <t>pmp certification requirements</t>
  </si>
  <si>
    <t>[66,100,81,81,81,81,66,81,81,66,66,54]</t>
  </si>
  <si>
    <t>CSM Scrum Master Course Online - Limited-time Offer: $270 Only</t>
  </si>
  <si>
    <t>certified scrum master</t>
  </si>
  <si>
    <t>[29,54,54,44,44,44,44,44,44,44,36,29]</t>
  </si>
  <si>
    <t>PMI Certified PMP® Training | Ace PMP Exam in 1st Attempt</t>
  </si>
  <si>
    <t>pmi certification</t>
  </si>
  <si>
    <t>[44,66,54,54,54,54,44,54,54,81,100,44]</t>
  </si>
  <si>
    <t>PMP® Certification | Special Offer: Get $400 Off</t>
  </si>
  <si>
    <t>project management certification</t>
  </si>
  <si>
    <t>[66,66,100,81,66,81,66,100,81,81,81,66]</t>
  </si>
  <si>
    <t>Become a Certified ScrumMaster | Today's Offer: Up To 51% Off</t>
  </si>
  <si>
    <t>PMP® Certification | Confidently Ace The PMP Exam</t>
  </si>
  <si>
    <t>project management professional certification</t>
  </si>
  <si>
    <t>[24,24,67,67,54,29,100,10,54,54,100,16]</t>
  </si>
  <si>
    <t>CAPM® Certification Training | Ace CAPM® Exam in 1st Attempt</t>
  </si>
  <si>
    <t>capm certification</t>
  </si>
  <si>
    <t>[66,100,100,81,81,81,81,81,81,81,81,66]</t>
  </si>
  <si>
    <t>ITIL Certification Course - 100% Exam Pass Guarantee</t>
  </si>
  <si>
    <t>[44,44,54,54,44,44,44,54,54,44,54,44]</t>
  </si>
  <si>
    <t>Simplilearn Post Graduate - Online Post Graduate Programs</t>
  </si>
  <si>
    <t>post graduate program in digital marketing simpli learn purdue cost</t>
  </si>
  <si>
    <t>[100]</t>
  </si>
  <si>
    <t>SAFe® Agilist Certification | Special Offer: Get $250 Off</t>
  </si>
  <si>
    <t>safe certification</t>
  </si>
  <si>
    <t>[24,29,24,24,24,19,19,24,29,100,81,19]</t>
  </si>
  <si>
    <t>pmp certifications</t>
  </si>
  <si>
    <t>[16,36,44,66,100,44,27,20,44,36,52,44]</t>
  </si>
  <si>
    <t>Simplilearn Online Bootcamps | Online Certification Courses</t>
  </si>
  <si>
    <t>simplilearn login</t>
  </si>
  <si>
    <t>[54,79,66,79,54,66,54,54,66,66,54,54]</t>
  </si>
  <si>
    <t>smum master certification</t>
  </si>
  <si>
    <t>[36,29,54,54,44,44,44,44,44,44,44,36]</t>
  </si>
  <si>
    <t>CSPO® Certification | Limited Offer: Enroll @ $270</t>
  </si>
  <si>
    <t>cspo</t>
  </si>
  <si>
    <t>[54,66,66,66,66,66,66,66,66,66,66,54]</t>
  </si>
  <si>
    <t>PMP® Exam &amp; Certification - Special Offer: Get $400 Off</t>
  </si>
  <si>
    <t>pmp certification cost</t>
  </si>
  <si>
    <t>[54,66,66,54,66,54,54,66,54,54,54,100]</t>
  </si>
  <si>
    <t>PMP® Exam &amp; Certification</t>
  </si>
  <si>
    <t>pmp exam</t>
  </si>
  <si>
    <t>[54,81,66,66,66,66,66,66,66,66,81,81]</t>
  </si>
  <si>
    <t>[44,54,100,66,36,81,44,24,81,29,81,36]</t>
  </si>
  <si>
    <t>CSPO® Certification | Special Offer: Flat $279 Off</t>
  </si>
  <si>
    <t>Simplilearn® Courses - Online Certification Courses</t>
  </si>
  <si>
    <t>simplelearn</t>
  </si>
  <si>
    <t>[41,41,66,4,79,36,30,41,30,41,100,20]</t>
  </si>
  <si>
    <t>simpli learn</t>
  </si>
  <si>
    <t>[37,100,11,84,84,37,37,52,46,68,84,46]</t>
  </si>
  <si>
    <t>simply learn</t>
  </si>
  <si>
    <t>[7,13,8,41,41,41,36,54,30,79,66,36]</t>
  </si>
  <si>
    <t>[66,54,81,66,66,66,66,66,66,66,66,81]</t>
  </si>
  <si>
    <t>PMP® Exam &amp; Certification | Special Offer: Get $400 Off</t>
  </si>
  <si>
    <t>pmp certification exam questions</t>
  </si>
  <si>
    <t>[25,68,46,84,37,31,37,20,31,68,11,68]</t>
  </si>
  <si>
    <t>Simplilearn® Official Site | Online Courses</t>
  </si>
  <si>
    <t>simplilearn americas</t>
  </si>
  <si>
    <t>[0,0,0,0,0,0,55,65,44,100,4,8]</t>
  </si>
  <si>
    <t>PMP® Exam &amp; Certification | Ace PMP Exam in 1st Attempt</t>
  </si>
  <si>
    <t>pmp exam cost</t>
  </si>
  <si>
    <t>[52,100,66,66,52,66,80,52,80,52,52,66]</t>
  </si>
  <si>
    <t>simplylearn</t>
  </si>
  <si>
    <t>[55,100,13,13,36,8,24,8,20,81,36,30]</t>
  </si>
  <si>
    <t>TOGAF® Architect Certification | Enroll in TOGAF® Course Now</t>
  </si>
  <si>
    <t>togaf certification</t>
  </si>
  <si>
    <t>[55,82,82,65,65,65,55,65,65,65,65,65]</t>
  </si>
  <si>
    <t>PMP® Certification - Flat 40% Off - Enroll Now</t>
  </si>
  <si>
    <t>pmp exam fee</t>
  </si>
  <si>
    <t>[41,41,100,66,100,100,100,41,66,100,30,54]</t>
  </si>
  <si>
    <t>ITIL® 4 Certification Course | Accredited Course Curriculum</t>
  </si>
  <si>
    <t>itil certifications</t>
  </si>
  <si>
    <t>[53,66,66,53,100,53,35,44,35,35,29,10]</t>
  </si>
  <si>
    <t>scaled agile framework certification</t>
  </si>
  <si>
    <t>[19,44,29,16,23,44,44,23,54,29,100,7]</t>
  </si>
  <si>
    <t>simlilearn</t>
  </si>
  <si>
    <t>[7,100,0,0,0,7,13,13,37,13,25,37]</t>
  </si>
  <si>
    <t>togaf certified</t>
  </si>
  <si>
    <t>[81,23,19,36,100,44,81,36,67,44,29,23]</t>
  </si>
  <si>
    <t>AWS Certification Course</t>
  </si>
  <si>
    <t>amazon web service certification</t>
  </si>
  <si>
    <t>[0,0,0,0,1,100,1,2,4,1,2,0]</t>
  </si>
  <si>
    <t>pmp practice exam free</t>
  </si>
  <si>
    <t>[81,28,35,35,54,66,44,35,44,100,35,81]</t>
  </si>
  <si>
    <t>pmp study course</t>
  </si>
  <si>
    <t>[0,100,66,81,35,35,44,100,54,44,54,81]</t>
  </si>
  <si>
    <t>SAFe® Agilist Certification | Limited Offer: Enroll @ $545</t>
  </si>
  <si>
    <t>how to get pmp certification</t>
  </si>
  <si>
    <t>[65,55,65,65,65,44,55,100,65,55,65,65]</t>
  </si>
  <si>
    <t>TOGAF® Architect Certification | TOGAF® Free Exam Retake</t>
  </si>
  <si>
    <t>[65,55,82,82,65,65,65,55,65,65,65,65]</t>
  </si>
  <si>
    <t>Simplilearn® Courses</t>
  </si>
  <si>
    <t>simplelern</t>
  </si>
  <si>
    <t>[67,0,100,0,0,0,0,55,0,0,0,0]</t>
  </si>
  <si>
    <t>pmp course</t>
  </si>
  <si>
    <t>[28,54,54,36,28,36,28,43,36,36,36,28]</t>
  </si>
  <si>
    <t>Simplilearn® Official Site</t>
  </si>
  <si>
    <t>login simplilearn</t>
  </si>
  <si>
    <t>[0,0,0,0,0,81,0,81,100,54,23,0]</t>
  </si>
  <si>
    <t>pmp test</t>
  </si>
  <si>
    <t>[20,29,29,29,22,22,22,22,22,22,100,43]</t>
  </si>
  <si>
    <t>simplilern</t>
  </si>
  <si>
    <t>[0,0,0,100,0,0,0,0,45,0,8,0]</t>
  </si>
  <si>
    <t>scale agile certification</t>
  </si>
  <si>
    <t>[0,0,0,0,0,0,0,0,0,100,0,0]</t>
  </si>
  <si>
    <t>AWS Certified Cloud Practioner | Special Offer Get Flat 43% Off</t>
  </si>
  <si>
    <t>aws practitioner certification</t>
  </si>
  <si>
    <t>[76,100,67,76,76,67,67,76,76,76,76,76]</t>
  </si>
  <si>
    <t>TOGAF® Architect Certification - TOGAF® Free Exam Retake</t>
  </si>
  <si>
    <t>pmi pmp certification</t>
  </si>
  <si>
    <t>[45,55,24,62,55,45,30,55,62,36,55,36]</t>
  </si>
  <si>
    <t>TOGAF® Enterprise Architecture | Master TOGAF® Core Concepts</t>
  </si>
  <si>
    <t>togaf training</t>
  </si>
  <si>
    <t>[54,54,54,43,35,43,35,43,22,66,54,43]</t>
  </si>
  <si>
    <t>simpilearn</t>
  </si>
  <si>
    <t>[4,100,12,12,1,0,54,15,44,4,54,29]</t>
  </si>
  <si>
    <t>[24,55,100,13,13,36,8,24,8,20,81,36]</t>
  </si>
  <si>
    <t>Simplilearn Courses</t>
  </si>
  <si>
    <t>simplilearning</t>
  </si>
  <si>
    <t>[0,0,0,0,100,1,0,0,36,0,0,1]</t>
  </si>
  <si>
    <t>Certified Scrum Product Owner® | Limited Offer: Flat $279 Off</t>
  </si>
  <si>
    <t>scrum master certification free</t>
  </si>
  <si>
    <t>[16,20,20,20,20,16,13,100,80,13,10,13]</t>
  </si>
  <si>
    <t>TOGAF® 10 Certification Course | Master TOGAF® Core Concepts</t>
  </si>
  <si>
    <t>togaf certifications</t>
  </si>
  <si>
    <t>[6,6,100,9,6,4,66,0,1,1,0,0]</t>
  </si>
  <si>
    <t>smplilearn</t>
  </si>
  <si>
    <t>[0,0,0,0,0,0,0,100,0,0,81,0]</t>
  </si>
  <si>
    <t>simplileaern</t>
  </si>
  <si>
    <t>[0,0,0,0,0,0,0,0,100,0,0,0]</t>
  </si>
  <si>
    <t>simplileanr</t>
  </si>
  <si>
    <t>Become Certified Scrum Master | Flash Sale: Enroll @ $270</t>
  </si>
  <si>
    <t>certified scrum certification</t>
  </si>
  <si>
    <t>[2,4,13,30,100,81,100,81,100,30,45,24]</t>
  </si>
  <si>
    <t>Simplilearn® Official Site - Online Certification Courses</t>
  </si>
  <si>
    <t>simpllearn</t>
  </si>
  <si>
    <t>[7,100,11,14,1,0,2,1,39,1,1,1]</t>
  </si>
  <si>
    <t>pmp certification training</t>
  </si>
  <si>
    <t>[8,29,29,13,8,7,7,8,7,10,10,8]</t>
  </si>
  <si>
    <t>simplilarn</t>
  </si>
  <si>
    <t>[0,0,100,0,0,0,0,0,0,0,0,0]</t>
  </si>
  <si>
    <t>project management professional prep course</t>
  </si>
  <si>
    <t>[11,88,26,72,72,72,72,88,100,26,17,39]</t>
  </si>
  <si>
    <t>PMP® Training &amp; Exam - Ace PMP Exam in 1st Attempt</t>
  </si>
  <si>
    <t>pmp exam practice test</t>
  </si>
  <si>
    <t>[30,8,13,16,16,10,100,13,41,8,16,2]</t>
  </si>
  <si>
    <t>PMP® Certification Training | Ace PMP Exam in 1st Attempt</t>
  </si>
  <si>
    <t>how to prepare for pmp certification</t>
  </si>
  <si>
    <t>[52,100,64,52,82,64,64,82,64,64,64,82]</t>
  </si>
  <si>
    <t>ITIL Foundations Course | 100% Exam Pass Guarantee</t>
  </si>
  <si>
    <t>itil 4 foundation certification</t>
  </si>
  <si>
    <t>[66,81,81,100,81,100,81,81,100,81,100,81]</t>
  </si>
  <si>
    <t>Simplilearn® Courses | Level Up Your Skills | Launch Your Career</t>
  </si>
  <si>
    <t>simpli lear</t>
  </si>
  <si>
    <t>simplilearn azure</t>
  </si>
  <si>
    <t>[2,2,2,2,2,2,2,100,10,2,2,2]</t>
  </si>
  <si>
    <t>Cloud Architect Certificate - Become a Cloud Architect</t>
  </si>
  <si>
    <t>cloud architect certification</t>
  </si>
  <si>
    <t>[36,54,44,36,29,44,36,36,36,100,100,81]</t>
  </si>
  <si>
    <t>PMP® Certification Training | Flat 40% Off - Enroll Now</t>
  </si>
  <si>
    <t>cheap pmp certification</t>
  </si>
  <si>
    <t>[41,41,41,52,52,52,64,64,52,64,82,82]</t>
  </si>
  <si>
    <t>CSPO® Certification Course | Limited Offer: Flat $279 Off</t>
  </si>
  <si>
    <t>cspo training</t>
  </si>
  <si>
    <t>[5,7,10,13,13,7,8,5,100,41,8,13]</t>
  </si>
  <si>
    <t>simplilearn log in</t>
  </si>
  <si>
    <t>[42,65,42,53,100,19,3,3,3,42,3,34]</t>
  </si>
  <si>
    <t>Simplilearn ITIL 4 Training - Online Certification Courses</t>
  </si>
  <si>
    <t>skillup by simplilearn</t>
  </si>
  <si>
    <t>[15,8,8,11,8,8,6,23,66,6,8,8]</t>
  </si>
  <si>
    <t>CSM Scrum Master Course Online - Today's Offer: Up To 51% Off</t>
  </si>
  <si>
    <t>certified scrum master class</t>
  </si>
  <si>
    <t>[43,100,82,66,100,100,35,66,35,66,100,43]</t>
  </si>
  <si>
    <t>Simplilearn PMP® Course | Flat 40% Off - Enroll Now</t>
  </si>
  <si>
    <t>similearn</t>
  </si>
  <si>
    <t>[0,0,0,0,0,0,0,100,0,0,0,0]</t>
  </si>
  <si>
    <t>certified scrum master certificate</t>
  </si>
  <si>
    <t>how to get project management certification</t>
  </si>
  <si>
    <t>[66,100,81,54,81,66,28,100,81,81,81,66]</t>
  </si>
  <si>
    <t>Simplilearn Courses | Online Courses</t>
  </si>
  <si>
    <t>simplilearn courses</t>
  </si>
  <si>
    <t>[8,11,11,11,8,15,3,18,8,23,18,15]</t>
  </si>
  <si>
    <t>certified scrum master course</t>
  </si>
  <si>
    <t>[66,100,81,66,100,81,66,44,3,81,35,28]</t>
  </si>
  <si>
    <t>Product Owner (CSPO®) Course | Limited Offer: Flat $279 Off</t>
  </si>
  <si>
    <t>a certified scrum product owner</t>
  </si>
  <si>
    <t>[0,77,77,77,77,44,77,55,77,77,77,77]</t>
  </si>
  <si>
    <t>Master ITIL 4 Foundation - Clear ITIL Exam on 1st Attempt</t>
  </si>
  <si>
    <t>itil foundation mock test</t>
  </si>
  <si>
    <t>[77,77,100,100,77,77,55,77,77,55,77,55]</t>
  </si>
  <si>
    <t>siplilearn</t>
  </si>
  <si>
    <t>[0,4,4,0,0,0,0,0,0,0,0,100]</t>
  </si>
  <si>
    <t>Simplilearn Online Bootcamps | Level Up Your Skills</t>
  </si>
  <si>
    <t>simplielarn</t>
  </si>
  <si>
    <t>[11,0,26,26,53,42,34,53,26,3,34,15]</t>
  </si>
  <si>
    <t>simplielearn</t>
  </si>
  <si>
    <t>[2,0,4,5,0,0,0,8,0,0,4,0]</t>
  </si>
  <si>
    <t>simplilear</t>
  </si>
  <si>
    <t>[4,8,4,14,4,2,2,2,54,2,35,29]</t>
  </si>
  <si>
    <t>Simplilearn® Official Site | Online Certification Courses</t>
  </si>
  <si>
    <t>simply lern</t>
  </si>
  <si>
    <t>Master ITIL 4 Foundation - 100+ Premium Exam Questions</t>
  </si>
  <si>
    <t>itil foundation mock exam</t>
  </si>
  <si>
    <t>[81,63,63,63,63,63,63,63,63,45,45,63]</t>
  </si>
  <si>
    <t>AWS Certified Cloud Practioner | Today's offer- Flat $300 Off</t>
  </si>
  <si>
    <t>best aws learning tutorial</t>
  </si>
  <si>
    <t>[100,0,0]</t>
  </si>
  <si>
    <t>simplilearns</t>
  </si>
  <si>
    <t>PMP® Certification Course | Flat 40% Off - Enroll Now</t>
  </si>
  <si>
    <t>pmp certification courses online</t>
  </si>
  <si>
    <t>[9,9,29,15,29,9,9,4,66,54,81,100]</t>
  </si>
  <si>
    <t>PMP® Certification | Flat 40% Off - Enroll Now</t>
  </si>
  <si>
    <t>online pmp certification training</t>
  </si>
  <si>
    <t>[21,21,28,7,28,100,78,28,35,0,35,0]</t>
  </si>
  <si>
    <t>CSM Scrum Master Course Online | Limited-time Offer: $270 Only</t>
  </si>
  <si>
    <t>csm scrum master certification</t>
  </si>
  <si>
    <t>[53,81,100,65,81,81,65,65,81,65,21,81]</t>
  </si>
  <si>
    <t>PMP® Training &amp; Exam | Confidently Ace The PMP Exam</t>
  </si>
  <si>
    <t>pmp prep classes</t>
  </si>
  <si>
    <t>[48,59,59,39,72,72,21,72,17,88,72,100]</t>
  </si>
  <si>
    <t>Simplilearn Online Bootcamps | Launch Your Career</t>
  </si>
  <si>
    <t>simplilerarn</t>
  </si>
  <si>
    <t>[0,0,0,0,0,0,0,0,0,0,100,0]</t>
  </si>
  <si>
    <t>PMP® Exam &amp; Certification - Confidently Ace The PMP Exam</t>
  </si>
  <si>
    <t>pmp test requirements</t>
  </si>
  <si>
    <t>[44,29,100,36,36,29,29,19,44,19,54,23]</t>
  </si>
  <si>
    <t>ITIL Certification Cost - 100% Exam Pass Guarantee</t>
  </si>
  <si>
    <t>itil 4 foundation exam cost</t>
  </si>
  <si>
    <t>[66,82,66,82,82,82,82,66,66,82,100,100]</t>
  </si>
  <si>
    <t>simple lern</t>
  </si>
  <si>
    <t>[0,0,0,0,0,0,0,0,0,0,0,100]</t>
  </si>
  <si>
    <t>CAPM® Exam Prep in 3 Weeks | Ace CAPM® Exam in 1st Attempt</t>
  </si>
  <si>
    <t>capm course</t>
  </si>
  <si>
    <t>[54,100,81,81,66,66,66,66,81,66,100,100]</t>
  </si>
  <si>
    <t>how much does it cost to do pmp-acp</t>
  </si>
  <si>
    <t>[100,0,0,0,0,0,0]</t>
  </si>
  <si>
    <t>ITIL Certification Now - 4 Mock Tests | 30+ Quizzes</t>
  </si>
  <si>
    <t>itil foundation test online</t>
  </si>
  <si>
    <t>[0,20,80,100,20,100,40,80,60,100,60,40]</t>
  </si>
  <si>
    <t>ITIL Certification Course | Clear ITIL Exam on 1st Attempt</t>
  </si>
  <si>
    <t>itil certification course online</t>
  </si>
  <si>
    <t>[0,42,3,26,11,11,19,11,15,11,15,15]</t>
  </si>
  <si>
    <t>PMP® Certification Training - Ace PMP Exam in 1st Attempt</t>
  </si>
  <si>
    <t>pmp exam prep free</t>
  </si>
  <si>
    <t>[17,29,11,11,29,23,17,23,29,17,23,17]</t>
  </si>
  <si>
    <t>Become CAPM® Ready in 3 Weeks | Ace CAPM® Exam in 1st...</t>
  </si>
  <si>
    <t>certified associate in project management capm course</t>
  </si>
  <si>
    <t>[41,100,64,64,52,64,64,52,64,52,52,41]</t>
  </si>
  <si>
    <t>pmp certificaiton</t>
  </si>
  <si>
    <t>[0,15,100,1,54,2,15,4,2,2,2,36]</t>
  </si>
  <si>
    <t>Simplilearn® ITIL Programs | Online Certification Courses</t>
  </si>
  <si>
    <t>simplilearn artificial intelligence engineer</t>
  </si>
  <si>
    <t>[11,23,82,11,23,11,11,11,11,11,11,11]</t>
  </si>
  <si>
    <t>itil foundation training</t>
  </si>
  <si>
    <t>[35,43,29,35,35,35,29,29,35,29,22,35]</t>
  </si>
  <si>
    <t>certificado de gestion de proyectos</t>
  </si>
  <si>
    <t>[22,22,44,22,22,22,22,77,100,22,22,100]</t>
  </si>
  <si>
    <t>TOGAF® Certification Price - TOGAF® Free Exam Retake</t>
  </si>
  <si>
    <t>togaf certification training</t>
  </si>
  <si>
    <t>[4,5,4,5,6,4,5,3,5,6,5,5]</t>
  </si>
  <si>
    <t>Simplilearn Online Bootcamps - Online Certification Courses</t>
  </si>
  <si>
    <t>ITIL Certification Course | 100% Exam Pass Guarantee</t>
  </si>
  <si>
    <t>itil certification training</t>
  </si>
  <si>
    <t>[22,29,29,29,29,22,35,18,35,29,43,29]</t>
  </si>
  <si>
    <t>Become a Certified ScrumMaster | Today's Offer: Up To 51%...</t>
  </si>
  <si>
    <t>certified scrummaster csm</t>
  </si>
  <si>
    <t>[65,100,28,21,34,65,28,21,81,65,65,0]</t>
  </si>
  <si>
    <t>TOGAF® Enterprise Architecture | Enroll in TOGAF® Course Now</t>
  </si>
  <si>
    <t>udacity enterprise architecture</t>
  </si>
  <si>
    <t>Simplilearn ITIL 4 Training | Online Certification Courses</t>
  </si>
  <si>
    <t>simplilearn itil</t>
  </si>
  <si>
    <t>[11,11,11,11,11,11,11,64,11,100,11,11]</t>
  </si>
  <si>
    <t>simplilearn.com</t>
  </si>
  <si>
    <t>[10,10,10,10,6,4,6,10,4,6,8,10]</t>
  </si>
  <si>
    <t>Simplilearn® Training Programs | Get Certified. Get Ahead.</t>
  </si>
  <si>
    <t>simplilearn cloud architect</t>
  </si>
  <si>
    <t>[11,11,11,11,11,11,11,11,11,11,64,64]</t>
  </si>
  <si>
    <t>itl certification</t>
  </si>
  <si>
    <t>[0,1,11,5,5,1,0,1,11,8,8,5]</t>
  </si>
  <si>
    <t>Simplilearn Online Bootcamps | Trusted by 3 Million+ Learners</t>
  </si>
  <si>
    <t>simplearn</t>
  </si>
  <si>
    <t>[2,5,0,2,2,2,2,53,7,2,5,5]</t>
  </si>
  <si>
    <t>itil 4 foundation mock exam</t>
  </si>
  <si>
    <t>[100,9,9,9,9,9,9,9,9,9,9,9]</t>
  </si>
  <si>
    <t>pmp courses online free</t>
  </si>
  <si>
    <t>[14,42,0,0,100,57,100,100,100,42,28,42]</t>
  </si>
  <si>
    <t>PMI Certified PMP® Training | Flat 40% Off - Enroll Now</t>
  </si>
  <si>
    <t>pmi project management course</t>
  </si>
  <si>
    <t>[28,28,18,28,35,100,44,35,35,35,35,44]</t>
  </si>
  <si>
    <t>simplilearn data science</t>
  </si>
  <si>
    <t>[5,7,5,5,5,5,5,35,28,100,12,12]</t>
  </si>
  <si>
    <t>Become Certified Scrum Master | Today's Offer: Up To 51% Off</t>
  </si>
  <si>
    <t>certified scrum master csm certification</t>
  </si>
  <si>
    <t>[34,53,80,80,80,65,65,65,65,100,53,65]</t>
  </si>
  <si>
    <t>Simplilearn ITIL V4 | Online Certification Courses</t>
  </si>
  <si>
    <t>simplilearn cissp</t>
  </si>
  <si>
    <t>[18,18,18,18,18,18,18,100,100,18,18,18]</t>
  </si>
  <si>
    <t>csm class</t>
  </si>
  <si>
    <t>[4,5,0,0,1,5,11,7,4,100,17,2]</t>
  </si>
  <si>
    <t>simplilearn full stack developer</t>
  </si>
  <si>
    <t>[2,2,0,0,2,2,2,2,11,100,4,2]</t>
  </si>
  <si>
    <t>pmp training pmi</t>
  </si>
  <si>
    <t>[12,100,36,36,23,15,23,19,23,15,23,15]</t>
  </si>
  <si>
    <t>Simplilearn ITIL 4 Training - Level Up Your Skills</t>
  </si>
  <si>
    <t>Cloud Certification Course | Masters Certification in Cloud</t>
  </si>
  <si>
    <t>caltech post graduate program in cloud computing</t>
  </si>
  <si>
    <t>[18,36,18,18,18,18,36,18,18,18,63,100]</t>
  </si>
  <si>
    <t>it project manager certification</t>
  </si>
  <si>
    <t>[34,53,43,53,34,43,100,34,43,28,28,34]</t>
  </si>
  <si>
    <t>pmi exam prep</t>
  </si>
  <si>
    <t>[3,2,1,1,0,100,0,0,3,13,3,0]</t>
  </si>
  <si>
    <t>best course for pmp</t>
  </si>
  <si>
    <t>[0,55,22,100,22,22,44,22,22,22,22,22]</t>
  </si>
  <si>
    <t>itil certification online</t>
  </si>
  <si>
    <t>[43,43,35,43,17,17,28,35,28,23,23,17]</t>
  </si>
  <si>
    <t>itil online certification</t>
  </si>
  <si>
    <t>[28,42,42,14,0,42,14,42,57,28,100,100]</t>
  </si>
  <si>
    <t>No Cost &amp; No Hidden Fees - AWS Certification Course</t>
  </si>
  <si>
    <t>best platform to learn aws</t>
  </si>
  <si>
    <t>[100,1,1,1,1,1,1,1,1,1,1,1]</t>
  </si>
  <si>
    <t>PMP® Certification Course | Confidently Ace The PMP Exam</t>
  </si>
  <si>
    <t>pmp certification what is it</t>
  </si>
  <si>
    <t>[11,29,29,29,41,41,41,52,52,41,52,64]</t>
  </si>
  <si>
    <t>CAPM® Certification Training | Ace CAPM® Exam in 1st...</t>
  </si>
  <si>
    <t>PMP® Course | Confidently Ace The PMP Exam</t>
  </si>
  <si>
    <t>best pmp prep course</t>
  </si>
  <si>
    <t>[28,28,53,43,43,35,35,28,82,43,100,28]</t>
  </si>
  <si>
    <t>itil classes online</t>
  </si>
  <si>
    <t>[0,100,63,100,81,63,63,100,81,45,45,45]</t>
  </si>
  <si>
    <t>[11,11,23,82,11,23,11,11,11,11,11,11]</t>
  </si>
  <si>
    <t>Simplilearn TOGAF - Online Certification Courses</t>
  </si>
  <si>
    <t>learning tree itil 4 foundation</t>
  </si>
  <si>
    <t>[18,18,18,18,18,18,18,18,18,18,100,100]</t>
  </si>
  <si>
    <t>PMP® Training Course | Confidently Ace The PMP Exam</t>
  </si>
  <si>
    <t>purdue project management essentials</t>
  </si>
  <si>
    <t>[18,18,81,18,18,18,18,18,18,18,18,18]</t>
  </si>
  <si>
    <t>Project Management Training</t>
  </si>
  <si>
    <t>it architect certification program</t>
  </si>
  <si>
    <t>[41,82,52,64,82,64,82,82,100,64,64,52]</t>
  </si>
  <si>
    <t>TOGAF® 10 Certification Course | Enroll in TOGAF® Course Now</t>
  </si>
  <si>
    <t>togaf course online</t>
  </si>
  <si>
    <t>[0,41,11,11,11,11,52,41,17,0,0,100]</t>
  </si>
  <si>
    <t>AWS Solution Architect Course | Get AWS Associate Certificate</t>
  </si>
  <si>
    <t>aws solutions architect-associate</t>
  </si>
  <si>
    <t>[0,0,0,0,0,100,0,0,0,0,0,0]</t>
  </si>
  <si>
    <t>get certified scrum master</t>
  </si>
  <si>
    <t>[71,100,71,71,71,71,57,71,28,28,28,28]</t>
  </si>
  <si>
    <t>Online AWS CPE Course | Special Offer Get Flat 43% Off</t>
  </si>
  <si>
    <t>devops certification course</t>
  </si>
  <si>
    <t>[11,17,17,29,23,41,23,41,52,17,64,17]</t>
  </si>
  <si>
    <t>scrum master certification course</t>
  </si>
  <si>
    <t>[6,6,8,11,44,35,54,15,100,6,6,3]</t>
  </si>
  <si>
    <t>pmp training and certification cost</t>
  </si>
  <si>
    <t>[0,2,6,4,0,0,0,2,8,0,100,2]</t>
  </si>
  <si>
    <t>Leading SAFe® 6 Certification | Special Offer: Get $250 Off</t>
  </si>
  <si>
    <t>safe 6.0 certification</t>
  </si>
  <si>
    <t>[65,53,34,19,26,7,26,34,11,15,3,53]</t>
  </si>
  <si>
    <t>pmp registered</t>
  </si>
  <si>
    <t>[45,18,63,100,63,18,18,18,18,18,18,18]</t>
  </si>
  <si>
    <t>how to register for pmp exam</t>
  </si>
  <si>
    <t>[55,77,100,77,100,77,77,77,100,100,100,100]</t>
  </si>
  <si>
    <t>srum master certification</t>
  </si>
  <si>
    <t>SAFe® Agile Training &amp; Exam | Special Offer: Get $250 Off</t>
  </si>
  <si>
    <t>scrum safe certification</t>
  </si>
  <si>
    <t>[52,5,11,11,23,29,11,17,11,23,11,29]</t>
  </si>
  <si>
    <t>pmp free course</t>
  </si>
  <si>
    <t>[64,52,52,52,82,100,64,52,100,82,82,82]</t>
  </si>
  <si>
    <t>what is the cost of pmp exam</t>
  </si>
  <si>
    <t>[11,23,11,100,11,11,11,11,11,11,11,11]</t>
  </si>
  <si>
    <t>Master ITIL 4 Foundation | 100% Exam Pass Guarantee</t>
  </si>
  <si>
    <t>itil 4 foundation course</t>
  </si>
  <si>
    <t>[33,33,33,42,33,9,42,33,42,9,100,9]</t>
  </si>
  <si>
    <t>pmp certification online course</t>
  </si>
  <si>
    <t>[9,15,19,15,23,4,1,12,23,23,100,36]</t>
  </si>
  <si>
    <t>itilv4 foundation</t>
  </si>
  <si>
    <t>[0,0,19,0,0,14,0,19,0,0,100,4]</t>
  </si>
  <si>
    <t>ITIL Foundations Course | Clear ITIL Exam on 1st Attempt</t>
  </si>
  <si>
    <t>itil foundations training</t>
  </si>
  <si>
    <t>[23,19,23,23,0,23,19,14,19,23,14,23]</t>
  </si>
  <si>
    <t>Simplilearn PMP® Course - Limited Offer: Get $400 Off</t>
  </si>
  <si>
    <t>[3,2,0,4,5,0,0,0,8,0,0,4]</t>
  </si>
  <si>
    <t>CSPO® Certification - Special Offer: Flat $279 Off</t>
  </si>
  <si>
    <t>knowledgehut cspo</t>
  </si>
  <si>
    <t>[18,18,18,18,18,18,18,18,18,18,100,18]</t>
  </si>
  <si>
    <t>capm training classes</t>
  </si>
  <si>
    <t>[11,52,64,52,52,52,29,41,29,29,29,29]</t>
  </si>
  <si>
    <t>Become Certified Scrum Master | Limited-time Offer: $270 Only</t>
  </si>
  <si>
    <t>agile certified scrum master</t>
  </si>
  <si>
    <t>[4,4,8,6,6,8,13,4,0,3,4,5]</t>
  </si>
  <si>
    <t>simplilearn generative ai</t>
  </si>
  <si>
    <t>pmp certificering</t>
  </si>
  <si>
    <t>[40,0,0,80,100,100,60,40,40,60,40,40]</t>
  </si>
  <si>
    <t>PMP® Exam &amp; Certification - Flat 40% Off - Enroll Now</t>
  </si>
  <si>
    <t>pmp certification 35 hours online training</t>
  </si>
  <si>
    <t>[23,11,41,29,17,11,17,23,23,29,11,11]</t>
  </si>
  <si>
    <t>scrum alliance csm certification cost</t>
  </si>
  <si>
    <t>[6,28,34,28,6,28,100,53,15,15,12,15]</t>
  </si>
  <si>
    <t>duration of pmp course</t>
  </si>
  <si>
    <t>[18,81,18,18,81,18,18,18,100,18,100,18]</t>
  </si>
  <si>
    <t>TOGAF® Certification Exam Cost | TOGAF® Free Exam Retake</t>
  </si>
  <si>
    <t>togaf certification price</t>
  </si>
  <si>
    <t>[28,71,28,28,42,28,28,28,28,28,71,28]</t>
  </si>
  <si>
    <t>Master ITIL 4 Foundation - 100% Exam Pass Guarantee</t>
  </si>
  <si>
    <t>itil foundation test</t>
  </si>
  <si>
    <t>[45,27,81,63,36,81,81,100,36,27,45,36]</t>
  </si>
  <si>
    <t>Scrum Alliance CSM® Training | Flash Sale: Enroll @ $270</t>
    <phoneticPr fontId="18" type="noConversion"/>
  </si>
  <si>
    <t>字段名</t>
    <phoneticPr fontId="18" type="noConversion"/>
  </si>
  <si>
    <t>含义</t>
  </si>
  <si>
    <t>合法范围</t>
  </si>
  <si>
    <t>是否允许为空值</t>
  </si>
  <si>
    <t>清洗策略</t>
  </si>
  <si>
    <t>页面/落地页标题（与关键词对应的页面标题）</t>
  </si>
  <si>
    <t>文本（string）</t>
  </si>
  <si>
    <t>非空；长度&gt;0</t>
  </si>
  <si>
    <t>关键词（搜索词/短语）</t>
  </si>
  <si>
    <t>不允许（核心维度）</t>
  </si>
  <si>
    <t>整数（int）</t>
  </si>
  <si>
    <t>不允许（核心指标）</t>
  </si>
  <si>
    <t>允许</t>
  </si>
  <si>
    <t>&gt;=0</t>
  </si>
  <si>
    <t>小数（float）</t>
  </si>
  <si>
    <t>0–1</t>
  </si>
  <si>
    <t>整数（bigint）</t>
  </si>
  <si>
    <t>可为空；内容可能类似“[1,2,3]”</t>
  </si>
  <si>
    <t>TRIM/CLEAN去空格与不可见字符；统一编码；空值可填“UnknownTitle”或保留空；避免用作主键</t>
    <phoneticPr fontId="18" type="noConversion"/>
  </si>
  <si>
    <t>0–100（或0–1，需统一）</t>
  </si>
  <si>
    <t>整数或小数（float/int）</t>
    <phoneticPr fontId="18" type="noConversion"/>
  </si>
  <si>
    <t>0–100</t>
    <phoneticPr fontId="18" type="noConversion"/>
  </si>
  <si>
    <t>允许</t>
    <phoneticPr fontId="18" type="noConversion"/>
  </si>
  <si>
    <t>转数值；&lt;0或&gt;100置空；后续分析通常用平均值（AVG），不要SUM</t>
    <phoneticPr fontId="18" type="noConversion"/>
  </si>
  <si>
    <t>关键词难度</t>
    <phoneticPr fontId="18" type="noConversion"/>
  </si>
  <si>
    <t>日期（date）</t>
    <phoneticPr fontId="18" type="noConversion"/>
  </si>
  <si>
    <t>有效日期</t>
    <phoneticPr fontId="18" type="noConversion"/>
  </si>
  <si>
    <t>不允许</t>
    <phoneticPr fontId="18" type="noConversion"/>
  </si>
  <si>
    <t>类型</t>
    <phoneticPr fontId="18" type="noConversion"/>
  </si>
  <si>
    <t>TRIM+CLEAN；建议生成 Keyword_Clean=LOWER(TRIM(CLEAN())) 作为后续去重/关联字段；空值行建议删除</t>
  </si>
  <si>
    <t>整数（int）</t>
    <phoneticPr fontId="18" type="noConversion"/>
  </si>
  <si>
    <t>&gt;=1（常见 1–100；超出视为异常）</t>
  </si>
  <si>
    <t>转为整数；&lt;=0 或 非数字 → 设为缺失/剔除；必要时截断到合理范围（如&gt;100 标记异常）</t>
  </si>
  <si>
    <t>&gt;=0（0 常表示“新进入/无历史”）</t>
  </si>
  <si>
    <t>转为整数；负数/非数字→缺失；0 保留并在分析时解释为“无历史排名”</t>
  </si>
  <si>
    <t>去掉逗号/空格后转 int；缺失可填 0 或保留空（取决于业务）；极端大值建议做分布检查</t>
  </si>
  <si>
    <t>去货币符号/逗号后转 float；&lt;0 置空；缺失可用中位数/分组中位数填充或保留空</t>
  </si>
  <si>
    <t>转 int；&lt;0 置空；缺失通常填 0；注意与 Traffic (%) 的一致性（Traffic=0 时占比应接近0）</t>
  </si>
  <si>
    <t>判断量纲：若大多数&lt;=1 则乘100；再限制到[0,100]；缺失可填 0 或保留空</t>
  </si>
  <si>
    <t>去货币符号/逗号转 float；&lt;0 置空；缺失可填 0；与 CPC/Traffic 逻辑一致性可抽查</t>
  </si>
  <si>
    <t>0–100（或 0–1，需统一）</t>
  </si>
  <si>
    <t>同 Traffic (%)：统一量纲到0–100；限制到[0,100]；Traffic Cost=0 时占比应接近0</t>
  </si>
  <si>
    <t>转 float；&lt;0 或 &gt;1 置空或截断；缺失可按关键词类目中位数填充或保留空</t>
  </si>
  <si>
    <t>搜索结果数量</t>
  </si>
  <si>
    <t>去逗号/空格转整数；极大值允许但建议做对数化用于可视化；&lt;0 置空</t>
  </si>
  <si>
    <t>文本（string）</t>
    <phoneticPr fontId="18" type="noConversion"/>
  </si>
  <si>
    <t>通常保留原样；如需分析趋势：在 Python 中解析为列表/拆分为多列；异常字符清洗（去多余空格）</t>
  </si>
  <si>
    <t>统一转为 Date；无法解析的标记为缺失；缺失可用最常见日期/最大日期填充（视分析需求），或在趋势分析中剔除</t>
  </si>
  <si>
    <t>每次点击成本</t>
    <phoneticPr fontId="18" type="noConversion"/>
  </si>
  <si>
    <t>当前排名（该关键词在搜索引擎结果中的排名）</t>
    <phoneticPr fontId="18" type="noConversion"/>
  </si>
  <si>
    <t>搜索量（月均搜索量）</t>
    <phoneticPr fontId="18" type="noConversion"/>
  </si>
  <si>
    <t>上一次排名（历史排名/对比用）</t>
    <phoneticPr fontId="18" type="noConversion"/>
  </si>
  <si>
    <t>最后一次观测/抓取日期</t>
    <phoneticPr fontId="18" type="noConversion"/>
  </si>
  <si>
    <t>预估流量/访问量</t>
    <phoneticPr fontId="18" type="noConversion"/>
  </si>
  <si>
    <t>流量占比</t>
    <phoneticPr fontId="18" type="noConversion"/>
  </si>
  <si>
    <t>预估流量价值/成本</t>
    <phoneticPr fontId="18" type="noConversion"/>
  </si>
  <si>
    <t>预估流量价值/成本占比</t>
    <phoneticPr fontId="18" type="noConversion"/>
  </si>
  <si>
    <t>竞价竞争度</t>
    <phoneticPr fontId="18" type="noConversion"/>
  </si>
  <si>
    <t>趋势序列/历史变化列表</t>
    <phoneticPr fontId="18" type="noConversion"/>
  </si>
  <si>
    <t>Keyword_Clean</t>
    <phoneticPr fontId="18" type="noConversion"/>
  </si>
  <si>
    <t>Dup_Keyword</t>
    <phoneticPr fontId="18" type="noConversion"/>
  </si>
  <si>
    <t>Check_Position</t>
    <phoneticPr fontId="18" type="noConversion"/>
  </si>
  <si>
    <t>Traffic (%)</t>
    <phoneticPr fontId="18" type="noConversion"/>
  </si>
  <si>
    <t>Check_Traffic (%)</t>
    <phoneticPr fontId="18" type="noConversion"/>
  </si>
  <si>
    <t>Competition</t>
    <phoneticPr fontId="18" type="noConversion"/>
  </si>
  <si>
    <t>Check_Competition</t>
    <phoneticPr fontId="18" type="noConversion"/>
  </si>
  <si>
    <t>Keyword Difficulty</t>
    <phoneticPr fontId="18" type="noConversion"/>
  </si>
  <si>
    <t>Check_Keyword Difficulty</t>
    <phoneticPr fontId="18" type="noConversion"/>
  </si>
  <si>
    <t>Last Seen</t>
    <phoneticPr fontId="18" type="noConversion"/>
  </si>
  <si>
    <t>Check_Last Seen</t>
    <phoneticPr fontId="18" type="noConversion"/>
  </si>
  <si>
    <t>总计</t>
  </si>
  <si>
    <t>计数项:Keyword</t>
  </si>
  <si>
    <t>平均值项:Keyword 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</si>
</sst>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_);[Red]\(0\)"/>
  </numFmts>
  <fonts count="2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24292E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9" fillId="0" borderId="0" xfId="0" applyFont="1"/>
    <xf numFmtId="0" fontId="20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83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9">
    <dxf>
      <numFmt numFmtId="182" formatCode="0_ "/>
    </dxf>
    <dxf>
      <numFmt numFmtId="183" formatCode="0_);[Red]\(0\)"/>
    </dxf>
    <dxf>
      <numFmt numFmtId="183" formatCode="0_);[Red]\(0\)"/>
    </dxf>
    <dxf>
      <numFmt numFmtId="183" formatCode="0_);[Red]\(0\)"/>
    </dxf>
    <dxf>
      <numFmt numFmtId="183" formatCode="0_);[Red]\(0\)"/>
    </dxf>
    <dxf>
      <numFmt numFmtId="181" formatCode="0.00_ "/>
    </dxf>
    <dxf>
      <numFmt numFmtId="181" formatCode="0.00_ "/>
    </dxf>
    <dxf>
      <numFmt numFmtId="183" formatCode="0_);[Red]\(0\)"/>
    </dxf>
    <dxf>
      <numFmt numFmtId="181" formatCode="0.00_ "/>
    </dxf>
    <dxf>
      <numFmt numFmtId="181" formatCode="0.00_ "/>
    </dxf>
    <dxf>
      <numFmt numFmtId="182" formatCode="0_ "/>
    </dxf>
    <dxf>
      <numFmt numFmtId="182" formatCode="0_ "/>
    </dxf>
    <dxf>
      <numFmt numFmtId="181" formatCode="0.00_ "/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-浅亦" refreshedDate="46123.699810300925" createdVersion="8" refreshedVersion="8" minRefreshableVersion="3" recordCount="199" xr:uid="{16401077-486B-43D4-B1A5-E56A8E9AAEE6}">
  <cacheSource type="worksheet">
    <worksheetSource name="表1"/>
  </cacheSource>
  <cacheFields count="22">
    <cacheField name="Title" numFmtId="0">
      <sharedItems/>
    </cacheField>
    <cacheField name="Keyword" numFmtId="0">
      <sharedItems count="160">
        <s v="pmp certification"/>
        <s v="scrum master certification"/>
        <s v="itil certification"/>
        <s v="certified scrum master certification"/>
        <s v="csm certification"/>
        <s v="simplilearn"/>
        <s v="pmp certification requirements"/>
        <s v="certified scrum master"/>
        <s v="pmi certification"/>
        <s v="project management certification"/>
        <s v="project management professional certification"/>
        <s v="capm certification"/>
        <s v="post graduate program in digital marketing simpli learn purdue cost"/>
        <s v="safe certification"/>
        <s v="pmp certifications"/>
        <s v="simplilearn login"/>
        <s v="smum master certification"/>
        <s v="cspo"/>
        <s v="pmp certification cost"/>
        <s v="pmp exam"/>
        <s v="simplelearn"/>
        <s v="simpli learn"/>
        <s v="simply learn"/>
        <s v="pmp certification exam questions"/>
        <s v="simplilearn americas"/>
        <s v="pmp exam cost"/>
        <s v="simplylearn"/>
        <s v="togaf certification"/>
        <s v="pmp exam fee"/>
        <s v="itil certifications"/>
        <s v="scaled agile framework certification"/>
        <s v="simlilearn"/>
        <s v="togaf certified"/>
        <s v="amazon web service certification"/>
        <s v="pmp practice exam free"/>
        <s v="pmp study course"/>
        <s v="how to get pmp certification"/>
        <s v="simplelern"/>
        <s v="pmp course"/>
        <s v="login simplilearn"/>
        <s v="pmp test"/>
        <s v="simplilern"/>
        <s v="scale agile certification"/>
        <s v="aws practitioner certification"/>
        <s v="pmi pmp certification"/>
        <s v="togaf training"/>
        <s v="simpilearn"/>
        <s v="simplilearning"/>
        <s v="scrum master certification free"/>
        <s v="togaf certifications"/>
        <s v="smplilearn"/>
        <s v="simplileaern"/>
        <s v="simplileanr"/>
        <s v="certified scrum certification"/>
        <s v="simpllearn"/>
        <s v="pmp certification training"/>
        <s v="simplilarn"/>
        <s v="project management professional prep course"/>
        <s v="pmp exam practice test"/>
        <s v="how to prepare for pmp certification"/>
        <s v="itil 4 foundation certification"/>
        <s v="simpli lear"/>
        <s v="simplilearn azure"/>
        <s v="cloud architect certification"/>
        <s v="cheap pmp certification"/>
        <s v="cspo training"/>
        <s v="simplilearn log in"/>
        <s v="skillup by simplilearn"/>
        <s v="certified scrum master class"/>
        <s v="similearn"/>
        <s v="certified scrum master certificate"/>
        <s v="how to get project management certification"/>
        <s v="simplilearn courses"/>
        <s v="certified scrum master course"/>
        <s v="a certified scrum product owner"/>
        <s v="itil foundation mock test"/>
        <s v="siplilearn"/>
        <s v="simplielarn"/>
        <s v="simplielearn"/>
        <s v="simplilear"/>
        <s v="simply lern"/>
        <s v="itil foundation mock exam"/>
        <s v="best aws learning tutorial"/>
        <s v="simplilearns"/>
        <s v="pmp certification courses online"/>
        <s v="online pmp certification training"/>
        <s v="csm scrum master certification"/>
        <s v="pmp prep classes"/>
        <s v="simplilerarn"/>
        <s v="pmp test requirements"/>
        <s v="itil 4 foundation exam cost"/>
        <s v="simple lern"/>
        <s v="capm course"/>
        <s v="how much does it cost to do pmp-acp"/>
        <s v="itil foundation test online"/>
        <s v="itil certification course online"/>
        <s v="pmp exam prep free"/>
        <s v="certified associate in project management capm course"/>
        <s v="pmp certificaiton"/>
        <s v="simplilearn artificial intelligence engineer"/>
        <s v="itil foundation training"/>
        <s v="certificado de gestion de proyectos"/>
        <s v="togaf certification training"/>
        <s v="itil certification training"/>
        <s v="certified scrummaster csm"/>
        <s v="udacity enterprise architecture"/>
        <s v="simplilearn itil"/>
        <s v="simplilearn.com"/>
        <s v="simplilearn cloud architect"/>
        <s v="itl certification"/>
        <s v="simplearn"/>
        <s v="itil 4 foundation mock exam"/>
        <s v="pmp courses online free"/>
        <s v="pmi project management course"/>
        <s v="simplilearn data science"/>
        <s v="certified scrum master csm certification"/>
        <s v="simplilearn cissp"/>
        <s v="csm class"/>
        <s v="simplilearn full stack developer"/>
        <s v="pmp training pmi"/>
        <s v="caltech post graduate program in cloud computing"/>
        <s v="it project manager certification"/>
        <s v="pmi exam prep"/>
        <s v="best course for pmp"/>
        <s v="itil certification online"/>
        <s v="itil online certification"/>
        <s v="best platform to learn aws"/>
        <s v="pmp certification what is it"/>
        <s v="best pmp prep course"/>
        <s v="itil classes online"/>
        <s v="learning tree itil 4 foundation"/>
        <s v="purdue project management essentials"/>
        <s v="it architect certification program"/>
        <s v="togaf course online"/>
        <s v="aws solutions architect-associate"/>
        <s v="get certified scrum master"/>
        <s v="devops certification course"/>
        <s v="scrum master certification course"/>
        <s v="pmp training and certification cost"/>
        <s v="safe 6.0 certification"/>
        <s v="pmp registered"/>
        <s v="how to register for pmp exam"/>
        <s v="srum master certification"/>
        <s v="scrum safe certification"/>
        <s v="pmp free course"/>
        <s v="what is the cost of pmp exam"/>
        <s v="itil 4 foundation course"/>
        <s v="pmp certification online course"/>
        <s v="itilv4 foundation"/>
        <s v="itil foundations training"/>
        <s v="knowledgehut cspo"/>
        <s v="capm training classes"/>
        <s v="agile certified scrum master"/>
        <s v="simplilearn generative ai"/>
        <s v="pmp certificering"/>
        <s v="pmp certification 35 hours online training"/>
        <s v="scrum alliance csm certification cost"/>
        <s v="duration of pmp course"/>
        <s v="togaf certification price"/>
        <s v="itil foundation test"/>
      </sharedItems>
    </cacheField>
    <cacheField name="Keyword_Clean" numFmtId="14">
      <sharedItems/>
    </cacheField>
    <cacheField name="Dup_Keyword" numFmtId="14">
      <sharedItems/>
    </cacheField>
    <cacheField name="Position" numFmtId="0">
      <sharedItems containsSemiMixedTypes="0" containsString="0" containsNumber="1" containsInteger="1" minValue="1" maxValue="6"/>
    </cacheField>
    <cacheField name="Check_Position" numFmtId="0">
      <sharedItems/>
    </cacheField>
    <cacheField name="Previous position" numFmtId="0">
      <sharedItems containsSemiMixedTypes="0" containsString="0" containsNumber="1" containsInteger="1" minValue="0" maxValue="6"/>
    </cacheField>
    <cacheField name="Search Volume" numFmtId="0">
      <sharedItems containsSemiMixedTypes="0" containsString="0" containsNumber="1" containsInteger="1" minValue="30" maxValue="90500"/>
    </cacheField>
    <cacheField name="CPC" numFmtId="0">
      <sharedItems containsSemiMixedTypes="0" containsString="0" containsNumber="1" minValue="0" maxValue="46.86"/>
    </cacheField>
    <cacheField name="Traffic" numFmtId="0">
      <sharedItems containsSemiMixedTypes="0" containsString="0" containsNumber="1" containsInteger="1" minValue="0" maxValue="4253"/>
    </cacheField>
    <cacheField name="Traffic (%)" numFmtId="0">
      <sharedItems containsSemiMixedTypes="0" containsString="0" containsNumber="1" minValue="0" maxValue="22.77"/>
    </cacheField>
    <cacheField name="Check_Traffic (%)" numFmtId="0">
      <sharedItems/>
    </cacheField>
    <cacheField name="Traffic Cost" numFmtId="0">
      <sharedItems containsSemiMixedTypes="0" containsString="0" containsNumber="1" containsInteger="1" minValue="0" maxValue="15991"/>
    </cacheField>
    <cacheField name="Traffic Cost (%)" numFmtId="0">
      <sharedItems containsSemiMixedTypes="0" containsString="0" containsNumber="1" minValue="0" maxValue="24.66"/>
    </cacheField>
    <cacheField name="Competition" numFmtId="0">
      <sharedItems containsSemiMixedTypes="0" containsString="0" containsNumber="1" minValue="0" maxValue="0.95"/>
    </cacheField>
    <cacheField name="Check_Competition" numFmtId="0">
      <sharedItems/>
    </cacheField>
    <cacheField name="Number of Results" numFmtId="0">
      <sharedItems containsSemiMixedTypes="0" containsString="0" containsNumber="1" containsInteger="1" minValue="0" maxValue="1400000000"/>
    </cacheField>
    <cacheField name="Trends" numFmtId="0">
      <sharedItems/>
    </cacheField>
    <cacheField name="Last Seen" numFmtId="14">
      <sharedItems containsSemiMixedTypes="0" containsNonDate="0" containsDate="1" containsString="0" minDate="2024-12-27T00:00:00" maxDate="2025-01-27T00:00:00"/>
    </cacheField>
    <cacheField name="Check_Last Seen" numFmtId="14">
      <sharedItems/>
    </cacheField>
    <cacheField name="Keyword Difficulty" numFmtId="0">
      <sharedItems containsString="0" containsBlank="1" containsNumber="1" containsInteger="1" minValue="8" maxValue="97" count="63">
        <n v="78"/>
        <n v="77"/>
        <n v="70"/>
        <n v="55"/>
        <n v="82"/>
        <n v="50"/>
        <n v="57"/>
        <n v="52"/>
        <n v="48"/>
        <n v="54"/>
        <n v="73"/>
        <n v="45"/>
        <n v="76"/>
        <n v="74"/>
        <n v="68"/>
        <n v="58"/>
        <n v="30"/>
        <n v="44"/>
        <n v="46"/>
        <n v="60"/>
        <n v="56"/>
        <n v="66"/>
        <n v="62"/>
        <n v="63"/>
        <n v="37"/>
        <n v="38"/>
        <n v="80"/>
        <n v="43"/>
        <n v="27"/>
        <n v="97"/>
        <n v="29"/>
        <n v="67"/>
        <n v="49"/>
        <n v="47"/>
        <n v="42"/>
        <n v="51"/>
        <n v="32"/>
        <n v="33"/>
        <n v="36"/>
        <n v="25"/>
        <n v="19"/>
        <n v="59"/>
        <n v="64"/>
        <n v="12"/>
        <n v="16"/>
        <n v="39"/>
        <n v="24"/>
        <m/>
        <n v="22"/>
        <n v="17"/>
        <n v="18"/>
        <n v="20"/>
        <n v="41"/>
        <n v="34"/>
        <n v="15"/>
        <n v="28"/>
        <n v="40"/>
        <n v="35"/>
        <n v="8"/>
        <n v="31"/>
        <n v="21"/>
        <n v="61"/>
        <n v="14"/>
      </sharedItems>
    </cacheField>
    <cacheField name="Check_Keyword Difficulty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PMP® Exam &amp; Certification | Flat 40% Off - Enroll Now"/>
    <x v="0"/>
    <s v="pmp certification"/>
    <s v="唯一"/>
    <n v="1"/>
    <s v="正常"/>
    <n v="1"/>
    <n v="90500"/>
    <n v="3.76"/>
    <n v="4253"/>
    <n v="22.77"/>
    <s v="正常"/>
    <n v="15991"/>
    <n v="24.66"/>
    <n v="0.6"/>
    <s v="正常"/>
    <n v="166000000"/>
    <s v="[67,54,81,81,67,67,81,67,81,81,67,67]"/>
    <d v="2024-12-31T00:00:00"/>
    <s v="日期正确"/>
    <x v="0"/>
    <s v="正常"/>
  </r>
  <r>
    <s v="PMP® Exam &amp; Certification | Confidently Ace The PMP Exam"/>
    <x v="0"/>
    <s v="pmp certification"/>
    <s v="唯一"/>
    <n v="1"/>
    <s v="正常"/>
    <n v="1"/>
    <n v="90500"/>
    <n v="3.76"/>
    <n v="4253"/>
    <n v="22.77"/>
    <s v="正常"/>
    <n v="15991"/>
    <n v="24.66"/>
    <n v="0.6"/>
    <s v="正常"/>
    <n v="172000000"/>
    <s v="[67,54,81,81,67,67,81,67,81,81,67,67]"/>
    <d v="2025-01-01T00:00:00"/>
    <s v="日期正确"/>
    <x v="0"/>
    <s v="正常"/>
  </r>
  <r>
    <s v="PMP® Training &amp; Exam | Special Offer: Get $400 Off"/>
    <x v="0"/>
    <s v="pmp certification"/>
    <s v="唯一"/>
    <n v="1"/>
    <s v="正常"/>
    <n v="2"/>
    <n v="90500"/>
    <n v="3.82"/>
    <n v="1176"/>
    <n v="6.29"/>
    <s v="正常"/>
    <n v="4492"/>
    <n v="6.92"/>
    <n v="0.65"/>
    <s v="正常"/>
    <n v="154000000"/>
    <s v="[54,81,81,67,67,81,67,81,81,67,67,81]"/>
    <d v="2025-01-14T00:00:00"/>
    <s v="日期正确"/>
    <x v="1"/>
    <s v="正常"/>
  </r>
  <r>
    <s v="CSM Scrum Master Course Online | Today's Offer: Up To 51% Off"/>
    <x v="1"/>
    <s v="scrum master certification"/>
    <s v="唯一"/>
    <n v="1"/>
    <s v="正常"/>
    <n v="1"/>
    <n v="18100"/>
    <n v="3.21"/>
    <n v="850"/>
    <n v="4.55"/>
    <s v="正常"/>
    <n v="2728"/>
    <n v="4.2"/>
    <n v="0.64"/>
    <s v="正常"/>
    <n v="32000000"/>
    <s v="[44,54,54,44,44,44,54,54,44,54,44,44]"/>
    <d v="2025-01-10T00:00:00"/>
    <s v="日期正确"/>
    <x v="2"/>
    <s v="正常"/>
  </r>
  <r>
    <s v="PMP® Certification | Ace PMP Exam in 1st Attempt"/>
    <x v="0"/>
    <s v="pmp certification"/>
    <s v="唯一"/>
    <n v="3"/>
    <s v="正常"/>
    <n v="3"/>
    <n v="90500"/>
    <n v="3.82"/>
    <n v="814"/>
    <n v="4.3499999999999996"/>
    <s v="正常"/>
    <n v="3109"/>
    <n v="4.79"/>
    <n v="0.65"/>
    <s v="正常"/>
    <n v="165000000"/>
    <s v="[54,81,81,67,67,81,67,81,81,67,67,81]"/>
    <d v="2025-01-07T00:00:00"/>
    <s v="日期正确"/>
    <x v="0"/>
    <s v="正常"/>
  </r>
  <r>
    <s v="ITIL® 4 Certification Course | 100% Money Back Guarantee"/>
    <x v="2"/>
    <s v="itil certification"/>
    <s v="唯一"/>
    <n v="1"/>
    <s v="正常"/>
    <n v="1"/>
    <n v="14800"/>
    <n v="2.33"/>
    <n v="695"/>
    <n v="3.72"/>
    <s v="正常"/>
    <n v="1619"/>
    <n v="2.4900000000000002"/>
    <n v="0.49"/>
    <s v="正常"/>
    <n v="13700000"/>
    <s v="[66,66,66,66,66,81,66,66,66,66,66,54]"/>
    <d v="2025-01-26T00:00:00"/>
    <s v="日期正确"/>
    <x v="3"/>
    <s v="正常"/>
  </r>
  <r>
    <s v="PMP® Exam &amp; Certification | Flat 40% Off - Enroll Now"/>
    <x v="0"/>
    <s v="pmp certification"/>
    <s v="唯一"/>
    <n v="4"/>
    <s v="正常"/>
    <n v="4"/>
    <n v="90500"/>
    <n v="3.76"/>
    <n v="633"/>
    <n v="3.39"/>
    <s v="正常"/>
    <n v="2380"/>
    <n v="3.67"/>
    <n v="0.6"/>
    <s v="正常"/>
    <n v="176000000"/>
    <s v="[67,54,81,81,67,67,81,67,81,81,67,67]"/>
    <d v="2025-01-02T00:00:00"/>
    <s v="日期正确"/>
    <x v="4"/>
    <s v="正常"/>
  </r>
  <r>
    <s v="CSM Scrum Master Course Online | Today's Offer: Up To 51% Off"/>
    <x v="3"/>
    <s v="certified scrum master certification"/>
    <s v="唯一"/>
    <n v="1"/>
    <s v="正常"/>
    <n v="1"/>
    <n v="9900"/>
    <n v="3.21"/>
    <n v="465"/>
    <n v="2.4900000000000002"/>
    <s v="正常"/>
    <n v="1492"/>
    <n v="2.2999999999999998"/>
    <n v="0.64"/>
    <s v="正常"/>
    <n v="44200000"/>
    <s v="[54,100,66,36,81,44,24,81,29,81,36,66]"/>
    <d v="2025-01-17T00:00:00"/>
    <s v="日期正确"/>
    <x v="5"/>
    <s v="正常"/>
  </r>
  <r>
    <s v="Scrum Alliance CSM® Training | Flash Sale: Enroll @ $270"/>
    <x v="4"/>
    <s v="csm certification"/>
    <s v="重复"/>
    <n v="1"/>
    <s v="正常"/>
    <n v="1"/>
    <n v="9900"/>
    <n v="4.5199999999999996"/>
    <n v="465"/>
    <n v="2.4900000000000002"/>
    <s v="正常"/>
    <n v="2101"/>
    <n v="3.24"/>
    <n v="0.43"/>
    <s v="正常"/>
    <n v="51800000"/>
    <s v="[100,29,44,44,44,36,36,36,36,36,29,36]"/>
    <d v="2024-12-28T00:00:00"/>
    <s v="日期正确"/>
    <x v="6"/>
    <s v="正常"/>
  </r>
  <r>
    <s v="PMP® Certification Course | Ace PMP Exam in 1st Attempt"/>
    <x v="0"/>
    <s v="pmp certification"/>
    <s v="唯一"/>
    <n v="6"/>
    <s v="正常"/>
    <n v="0"/>
    <n v="90500"/>
    <n v="3.82"/>
    <n v="452"/>
    <n v="2.42"/>
    <s v="正常"/>
    <n v="1726"/>
    <n v="2.66"/>
    <n v="0.65"/>
    <s v="正常"/>
    <n v="155000000"/>
    <s v="[54,81,81,67,67,81,67,81,81,67,67,81]"/>
    <d v="2025-01-26T00:00:00"/>
    <s v="日期正确"/>
    <x v="2"/>
    <s v="正常"/>
  </r>
  <r>
    <s v="Simplilearn PMP® Course | Special Offer: Get $400 Off"/>
    <x v="5"/>
    <s v="simplilearn"/>
    <s v="唯一"/>
    <n v="1"/>
    <s v="正常"/>
    <n v="1"/>
    <n v="8100"/>
    <n v="2.31"/>
    <n v="380"/>
    <n v="2.0299999999999998"/>
    <s v="正常"/>
    <n v="877"/>
    <n v="1.35"/>
    <n v="0.14000000000000001"/>
    <s v="正常"/>
    <n v="4130000"/>
    <s v="[44,54,44,54,44,66,54,54,54,54,81,44]"/>
    <d v="2025-01-22T00:00:00"/>
    <s v="日期正确"/>
    <x v="7"/>
    <s v="正常"/>
  </r>
  <r>
    <s v="Simplilearn® Courses | Online Certification Courses"/>
    <x v="5"/>
    <s v="simplilearn"/>
    <s v="唯一"/>
    <n v="1"/>
    <s v="正常"/>
    <n v="1"/>
    <n v="8100"/>
    <n v="2.31"/>
    <n v="380"/>
    <n v="2.0299999999999998"/>
    <s v="正常"/>
    <n v="877"/>
    <n v="1.35"/>
    <n v="0.14000000000000001"/>
    <s v="正常"/>
    <n v="4880000"/>
    <s v="[44,54,44,54,44,66,54,54,54,54,81,44]"/>
    <d v="2025-01-25T00:00:00"/>
    <s v="日期正确"/>
    <x v="8"/>
    <s v="正常"/>
  </r>
  <r>
    <s v="PMP® Certification Course"/>
    <x v="6"/>
    <s v="pmp certification requirements"/>
    <s v="唯一"/>
    <n v="1"/>
    <s v="正常"/>
    <n v="0"/>
    <n v="6600"/>
    <n v="2.37"/>
    <n v="310"/>
    <n v="1.66"/>
    <s v="正常"/>
    <n v="734"/>
    <n v="1.1299999999999999"/>
    <n v="0.59"/>
    <s v="正常"/>
    <n v="162000000"/>
    <s v="[66,100,81,81,81,81,66,81,81,66,66,54]"/>
    <d v="2025-01-26T00:00:00"/>
    <s v="日期正确"/>
    <x v="9"/>
    <s v="正常"/>
  </r>
  <r>
    <s v="CSM Scrum Master Course Online - Limited-time Offer: $270 Only"/>
    <x v="7"/>
    <s v="certified scrum master"/>
    <s v="唯一"/>
    <n v="1"/>
    <s v="正常"/>
    <n v="1"/>
    <n v="5400"/>
    <n v="2.5299999999999998"/>
    <n v="253"/>
    <n v="1.35"/>
    <s v="正常"/>
    <n v="640"/>
    <n v="0.98"/>
    <n v="0.49"/>
    <s v="正常"/>
    <n v="40200000"/>
    <s v="[29,54,54,44,44,44,44,44,44,44,36,29]"/>
    <d v="2025-01-07T00:00:00"/>
    <s v="日期正确"/>
    <x v="10"/>
    <s v="正常"/>
  </r>
  <r>
    <s v="PMI Certified PMP® Training | Ace PMP Exam in 1st Attempt"/>
    <x v="8"/>
    <s v="pmi certification"/>
    <s v="重复"/>
    <n v="1"/>
    <s v="正常"/>
    <n v="1"/>
    <n v="5400"/>
    <n v="3.35"/>
    <n v="253"/>
    <n v="1.35"/>
    <s v="正常"/>
    <n v="847"/>
    <n v="1.3"/>
    <n v="0.59"/>
    <s v="正常"/>
    <n v="48200000"/>
    <s v="[44,66,54,54,54,54,44,54,54,81,100,44]"/>
    <d v="2025-01-22T00:00:00"/>
    <s v="日期正确"/>
    <x v="11"/>
    <s v="正常"/>
  </r>
  <r>
    <s v="PMP® Certification | Special Offer: Get $400 Off"/>
    <x v="9"/>
    <s v="project management certification"/>
    <s v="重复"/>
    <n v="5"/>
    <s v="正常"/>
    <n v="5"/>
    <n v="49500"/>
    <n v="6.49"/>
    <n v="247"/>
    <n v="1.32"/>
    <s v="正常"/>
    <n v="1603"/>
    <n v="2.4700000000000002"/>
    <n v="0.68"/>
    <s v="正常"/>
    <n v="978000000"/>
    <s v="[66,66,100,81,66,81,66,100,81,81,81,66]"/>
    <d v="2024-12-31T00:00:00"/>
    <s v="日期正确"/>
    <x v="12"/>
    <s v="正常"/>
  </r>
  <r>
    <s v="CSM Scrum Master Course Online | Today's Offer: Up To 51% Off"/>
    <x v="1"/>
    <s v="scrum master certification"/>
    <s v="唯一"/>
    <n v="2"/>
    <s v="正常"/>
    <n v="2"/>
    <n v="18100"/>
    <n v="3.21"/>
    <n v="235"/>
    <n v="1.25"/>
    <s v="正常"/>
    <n v="754"/>
    <n v="1.1599999999999999"/>
    <n v="0.64"/>
    <s v="正常"/>
    <n v="16000000"/>
    <s v="[44,54,54,44,44,44,54,54,44,54,44,44]"/>
    <d v="2025-01-07T00:00:00"/>
    <s v="日期正确"/>
    <x v="2"/>
    <s v="正常"/>
  </r>
  <r>
    <s v="Become a Certified ScrumMaster | Today's Offer: Up To 51% Off"/>
    <x v="1"/>
    <s v="scrum master certification"/>
    <s v="唯一"/>
    <n v="3"/>
    <s v="正常"/>
    <n v="3"/>
    <n v="18100"/>
    <n v="3.21"/>
    <n v="162"/>
    <n v="0.86"/>
    <s v="正常"/>
    <n v="520"/>
    <n v="0.8"/>
    <n v="0.64"/>
    <s v="正常"/>
    <n v="31900000"/>
    <s v="[44,54,54,44,44,44,54,54,44,54,44,44]"/>
    <d v="2025-01-04T00:00:00"/>
    <s v="日期正确"/>
    <x v="13"/>
    <s v="正常"/>
  </r>
  <r>
    <s v="PMP® Certification | Confidently Ace The PMP Exam"/>
    <x v="10"/>
    <s v="project management professional certification"/>
    <s v="重复"/>
    <n v="4"/>
    <s v="正常"/>
    <n v="4"/>
    <n v="18100"/>
    <n v="3.76"/>
    <n v="126"/>
    <n v="0.67"/>
    <s v="正常"/>
    <n v="473"/>
    <n v="0.72"/>
    <n v="0.6"/>
    <s v="正常"/>
    <n v="931000000"/>
    <s v="[24,24,67,67,54,29,100,10,54,54,100,16]"/>
    <d v="2024-12-31T00:00:00"/>
    <s v="日期正确"/>
    <x v="4"/>
    <s v="正常"/>
  </r>
  <r>
    <s v="Simplilearn® Courses | Online Certification Courses"/>
    <x v="5"/>
    <s v="simplilearn"/>
    <s v="唯一"/>
    <n v="2"/>
    <s v="正常"/>
    <n v="2"/>
    <n v="8100"/>
    <n v="2.31"/>
    <n v="105"/>
    <n v="0.56000000000000005"/>
    <s v="正常"/>
    <n v="242"/>
    <n v="0.37"/>
    <n v="0.14000000000000001"/>
    <s v="正常"/>
    <n v="4490000"/>
    <s v="[44,54,44,54,44,66,54,54,54,54,81,44]"/>
    <d v="2025-01-12T00:00:00"/>
    <s v="日期正确"/>
    <x v="14"/>
    <s v="正常"/>
  </r>
  <r>
    <s v="CAPM® Certification Training | Ace CAPM® Exam in 1st Attempt"/>
    <x v="11"/>
    <s v="capm certification"/>
    <s v="重复"/>
    <n v="4"/>
    <s v="正常"/>
    <n v="4"/>
    <n v="14800"/>
    <n v="2.72"/>
    <n v="103"/>
    <n v="0.55000000000000004"/>
    <s v="正常"/>
    <n v="280"/>
    <n v="0.43"/>
    <n v="0.63"/>
    <s v="正常"/>
    <n v="5790000"/>
    <s v="[66,100,100,81,81,81,81,81,81,81,81,66]"/>
    <d v="2025-01-25T00:00:00"/>
    <s v="日期正确"/>
    <x v="15"/>
    <s v="正常"/>
  </r>
  <r>
    <s v="ITIL Certification Course - 100% Exam Pass Guarantee"/>
    <x v="2"/>
    <s v="itil certification"/>
    <s v="唯一"/>
    <n v="4"/>
    <s v="正常"/>
    <n v="4"/>
    <n v="14800"/>
    <n v="2.33"/>
    <n v="103"/>
    <n v="0.55000000000000004"/>
    <s v="正常"/>
    <n v="239"/>
    <n v="0.36"/>
    <n v="0.49"/>
    <s v="正常"/>
    <n v="13700000"/>
    <s v="[66,66,66,66,66,81,66,66,66,66,66,54]"/>
    <d v="2025-01-26T00:00:00"/>
    <s v="日期正确"/>
    <x v="3"/>
    <s v="正常"/>
  </r>
  <r>
    <s v="CSM Scrum Master Course Online | Today's Offer: Up To 51% Off"/>
    <x v="1"/>
    <s v="scrum master certification"/>
    <s v="唯一"/>
    <n v="5"/>
    <s v="正常"/>
    <n v="5"/>
    <n v="18100"/>
    <n v="3.4"/>
    <n v="90"/>
    <n v="0.48"/>
    <s v="正常"/>
    <n v="306"/>
    <n v="0.47"/>
    <n v="0.56000000000000005"/>
    <s v="正常"/>
    <n v="32700000"/>
    <s v="[44,44,54,54,44,44,44,54,54,44,54,44]"/>
    <d v="2024-12-29T00:00:00"/>
    <s v="日期正确"/>
    <x v="13"/>
    <s v="正常"/>
  </r>
  <r>
    <s v="Simplilearn Post Graduate - Online Post Graduate Programs"/>
    <x v="12"/>
    <s v="post graduate program in digital marketing simpli learn purdue cost"/>
    <s v="重复"/>
    <n v="1"/>
    <s v="正常"/>
    <n v="1"/>
    <n v="1900"/>
    <n v="0"/>
    <n v="89"/>
    <n v="0.47"/>
    <s v="正常"/>
    <n v="0"/>
    <n v="0"/>
    <n v="0"/>
    <s v="正常"/>
    <n v="68"/>
    <s v="[100]"/>
    <d v="2025-01-21T00:00:00"/>
    <s v="日期正确"/>
    <x v="16"/>
    <s v="正常"/>
  </r>
  <r>
    <s v="PMP® Certification Course | Ace PMP Exam in 1st Attempt"/>
    <x v="6"/>
    <s v="pmp certification requirements"/>
    <s v="唯一"/>
    <n v="2"/>
    <s v="正常"/>
    <n v="2"/>
    <n v="6600"/>
    <n v="2.37"/>
    <n v="85"/>
    <n v="0.45"/>
    <s v="正常"/>
    <n v="201"/>
    <n v="0.31"/>
    <n v="0.59"/>
    <s v="正常"/>
    <n v="166000000"/>
    <s v="[66,100,81,81,81,81,66,81,81,66,66,54]"/>
    <d v="2025-01-14T00:00:00"/>
    <s v="日期正确"/>
    <x v="3"/>
    <s v="正常"/>
  </r>
  <r>
    <s v="SAFe® Agilist Certification | Special Offer: Get $250 Off"/>
    <x v="13"/>
    <s v="safe certification"/>
    <s v="重复"/>
    <n v="2"/>
    <s v="正常"/>
    <n v="2"/>
    <n v="6600"/>
    <n v="3.77"/>
    <n v="85"/>
    <n v="0.45"/>
    <s v="正常"/>
    <n v="320"/>
    <n v="0.49"/>
    <n v="0.41"/>
    <s v="正常"/>
    <n v="1400000000"/>
    <s v="[24,29,24,24,24,19,19,24,29,100,81,19]"/>
    <d v="2025-01-24T00:00:00"/>
    <s v="日期正确"/>
    <x v="8"/>
    <s v="正常"/>
  </r>
  <r>
    <s v="PMP® Certification | Ace PMP Exam in 1st Attempt"/>
    <x v="14"/>
    <s v="pmp certifications"/>
    <s v="重复"/>
    <n v="1"/>
    <s v="正常"/>
    <n v="1"/>
    <n v="1600"/>
    <n v="3.82"/>
    <n v="75"/>
    <n v="0.4"/>
    <s v="正常"/>
    <n v="286"/>
    <n v="0.44"/>
    <n v="0.65"/>
    <s v="正常"/>
    <n v="35300000"/>
    <s v="[16,36,44,66,100,44,27,20,44,36,52,44]"/>
    <d v="2025-01-19T00:00:00"/>
    <s v="日期正确"/>
    <x v="10"/>
    <s v="正常"/>
  </r>
  <r>
    <s v="Simplilearn Online Bootcamps | Online Certification Courses"/>
    <x v="15"/>
    <s v="simplilearn login"/>
    <s v="唯一"/>
    <n v="1"/>
    <s v="正常"/>
    <n v="1"/>
    <n v="1600"/>
    <n v="1.31"/>
    <n v="75"/>
    <n v="0.4"/>
    <s v="正常"/>
    <n v="98"/>
    <n v="0.15"/>
    <n v="0.13"/>
    <s v="正常"/>
    <n v="64"/>
    <s v="[54,79,66,79,54,66,54,54,66,66,54,54]"/>
    <d v="2025-01-23T00:00:00"/>
    <s v="日期正确"/>
    <x v="6"/>
    <s v="正常"/>
  </r>
  <r>
    <s v="CSM Scrum Master Course Online | Today's Offer: Up To 51% Off"/>
    <x v="16"/>
    <s v="smum master certification"/>
    <s v="重复"/>
    <n v="1"/>
    <s v="正常"/>
    <n v="1"/>
    <n v="1600"/>
    <n v="0"/>
    <n v="75"/>
    <n v="0.4"/>
    <s v="正常"/>
    <n v="0"/>
    <n v="0"/>
    <n v="0"/>
    <s v="正常"/>
    <n v="16200000"/>
    <s v="[100]"/>
    <d v="2025-01-02T00:00:00"/>
    <s v="日期正确"/>
    <x v="14"/>
    <s v="正常"/>
  </r>
  <r>
    <s v="CSM Scrum Master Course Online | Today's Offer: Up To 51% Off"/>
    <x v="7"/>
    <s v="certified scrum master"/>
    <s v="唯一"/>
    <n v="2"/>
    <s v="正常"/>
    <n v="2"/>
    <n v="5400"/>
    <n v="2.68"/>
    <n v="70"/>
    <n v="0.37"/>
    <s v="正常"/>
    <n v="187"/>
    <n v="0.28000000000000003"/>
    <n v="0.43"/>
    <s v="正常"/>
    <n v="24600000"/>
    <s v="[36,29,54,54,44,44,44,44,44,44,44,36]"/>
    <d v="2024-12-30T00:00:00"/>
    <s v="日期正确"/>
    <x v="10"/>
    <s v="正常"/>
  </r>
  <r>
    <s v="CSPO® Certification | Limited Offer: Enroll @ $270"/>
    <x v="17"/>
    <s v="cspo"/>
    <s v="唯一"/>
    <n v="2"/>
    <s v="正常"/>
    <n v="2"/>
    <n v="5400"/>
    <n v="4.09"/>
    <n v="70"/>
    <n v="0.37"/>
    <s v="正常"/>
    <n v="286"/>
    <n v="0.44"/>
    <n v="0.41"/>
    <s v="正常"/>
    <n v="8660000"/>
    <s v="[54,66,66,66,66,66,66,66,66,66,66,54]"/>
    <d v="2025-01-07T00:00:00"/>
    <s v="日期正确"/>
    <x v="17"/>
    <s v="正常"/>
  </r>
  <r>
    <s v="CSM Scrum Master Course Online | Today's Offer: Up To 51% Off"/>
    <x v="3"/>
    <s v="certified scrum master certification"/>
    <s v="唯一"/>
    <n v="4"/>
    <s v="正常"/>
    <n v="4"/>
    <n v="9900"/>
    <n v="3.21"/>
    <n v="69"/>
    <n v="0.36"/>
    <s v="正常"/>
    <n v="221"/>
    <n v="0.34"/>
    <n v="0.64"/>
    <s v="正常"/>
    <n v="31500000"/>
    <s v="[54,100,66,36,81,44,24,81,29,81,36,66]"/>
    <d v="2025-01-24T00:00:00"/>
    <s v="日期正确"/>
    <x v="9"/>
    <s v="正常"/>
  </r>
  <r>
    <s v="PMP® Exam &amp; Certification - Special Offer: Get $400 Off"/>
    <x v="18"/>
    <s v="pmp certification cost"/>
    <s v="重复"/>
    <n v="5"/>
    <s v="正常"/>
    <n v="5"/>
    <n v="12100"/>
    <n v="2.59"/>
    <n v="60"/>
    <n v="0.32"/>
    <s v="正常"/>
    <n v="155"/>
    <n v="0.23"/>
    <n v="0.33"/>
    <s v="正常"/>
    <n v="112000000"/>
    <s v="[54,66,66,54,66,54,54,66,54,54,54,100]"/>
    <d v="2025-01-07T00:00:00"/>
    <s v="日期正确"/>
    <x v="18"/>
    <s v="正常"/>
  </r>
  <r>
    <s v="PMP® Exam &amp; Certification"/>
    <x v="19"/>
    <s v="pmp exam"/>
    <s v="唯一"/>
    <n v="3"/>
    <s v="正常"/>
    <n v="0"/>
    <n v="6600"/>
    <n v="2.6"/>
    <n v="59"/>
    <n v="0.31"/>
    <s v="正常"/>
    <n v="153"/>
    <n v="0.23"/>
    <n v="0.39"/>
    <s v="正常"/>
    <n v="21000000"/>
    <s v="[54,81,66,66,66,66,66,66,66,66,81,81]"/>
    <d v="2025-01-26T00:00:00"/>
    <s v="日期正确"/>
    <x v="19"/>
    <s v="正常"/>
  </r>
  <r>
    <s v="CSM Scrum Master Course Online | Today's Offer: Up To 51% Off"/>
    <x v="3"/>
    <s v="certified scrum master certification"/>
    <s v="唯一"/>
    <n v="6"/>
    <s v="正常"/>
    <n v="6"/>
    <n v="9900"/>
    <n v="3.4"/>
    <n v="49"/>
    <n v="0.26"/>
    <s v="正常"/>
    <n v="166"/>
    <n v="0.25"/>
    <n v="0.56000000000000005"/>
    <s v="正常"/>
    <n v="13200000"/>
    <s v="[44,54,100,66,36,81,44,24,81,29,81,36]"/>
    <d v="2024-12-30T00:00:00"/>
    <s v="日期正确"/>
    <x v="3"/>
    <s v="正常"/>
  </r>
  <r>
    <s v="CSPO® Certification | Special Offer: Flat $279 Off"/>
    <x v="17"/>
    <s v="cspo"/>
    <s v="唯一"/>
    <n v="3"/>
    <s v="正常"/>
    <n v="3"/>
    <n v="5400"/>
    <n v="4.09"/>
    <n v="48"/>
    <n v="0.25"/>
    <s v="正常"/>
    <n v="196"/>
    <n v="0.3"/>
    <n v="0.41"/>
    <s v="正常"/>
    <n v="8780000"/>
    <s v="[54,66,66,66,66,66,66,66,66,66,66,54]"/>
    <d v="2025-01-03T00:00:00"/>
    <s v="日期正确"/>
    <x v="17"/>
    <s v="正常"/>
  </r>
  <r>
    <s v="Simplilearn® Courses - Online Certification Courses"/>
    <x v="20"/>
    <s v="simplelearn"/>
    <s v="重复"/>
    <n v="1"/>
    <s v="正常"/>
    <n v="1"/>
    <n v="1000"/>
    <n v="2.31"/>
    <n v="47"/>
    <n v="0.25"/>
    <s v="正常"/>
    <n v="108"/>
    <n v="0.16"/>
    <n v="0.14000000000000001"/>
    <s v="正常"/>
    <n v="4340000"/>
    <s v="[41,41,66,4,79,36,30,41,30,41,100,20]"/>
    <d v="2025-01-13T00:00:00"/>
    <s v="日期正确"/>
    <x v="20"/>
    <s v="正常"/>
  </r>
  <r>
    <s v="Simplilearn® Courses - Online Certification Courses"/>
    <x v="21"/>
    <s v="simpli learn"/>
    <s v="重复"/>
    <n v="1"/>
    <s v="正常"/>
    <n v="1"/>
    <n v="1000"/>
    <n v="2.31"/>
    <n v="47"/>
    <n v="0.25"/>
    <s v="正常"/>
    <n v="108"/>
    <n v="0.16"/>
    <n v="0.14000000000000001"/>
    <s v="正常"/>
    <n v="4430000"/>
    <s v="[37,100,11,84,84,37,37,52,46,68,84,46]"/>
    <d v="2025-01-06T00:00:00"/>
    <s v="日期正确"/>
    <x v="21"/>
    <s v="正常"/>
  </r>
  <r>
    <s v="Simplilearn® Courses | Online Certification Courses"/>
    <x v="22"/>
    <s v="simply learn"/>
    <s v="唯一"/>
    <n v="1"/>
    <s v="正常"/>
    <n v="1"/>
    <n v="1000"/>
    <n v="2.31"/>
    <n v="47"/>
    <n v="0.25"/>
    <s v="正常"/>
    <n v="108"/>
    <n v="0.16"/>
    <n v="0.14000000000000001"/>
    <s v="正常"/>
    <n v="4350000"/>
    <s v="[7,13,8,41,41,41,36,54,30,79,66,36]"/>
    <d v="2025-01-06T00:00:00"/>
    <s v="日期正确"/>
    <x v="22"/>
    <s v="正常"/>
  </r>
  <r>
    <s v="PMP® Exam &amp; Certification | Confidently Ace The PMP Exam"/>
    <x v="19"/>
    <s v="pmp exam"/>
    <s v="唯一"/>
    <n v="4"/>
    <s v="正常"/>
    <n v="4"/>
    <n v="6600"/>
    <n v="2.17"/>
    <n v="46"/>
    <n v="0.24"/>
    <s v="正常"/>
    <n v="99"/>
    <n v="0.15"/>
    <n v="0.36"/>
    <s v="正常"/>
    <n v="24200000"/>
    <s v="[66,54,81,66,66,66,66,66,66,66,66,81]"/>
    <d v="2024-12-31T00:00:00"/>
    <s v="日期正确"/>
    <x v="14"/>
    <s v="正常"/>
  </r>
  <r>
    <s v="PMP® Exam &amp; Certification | Special Offer: Get $400 Off"/>
    <x v="19"/>
    <s v="pmp exam"/>
    <s v="唯一"/>
    <n v="4"/>
    <s v="正常"/>
    <n v="4"/>
    <n v="6600"/>
    <n v="2.6"/>
    <n v="46"/>
    <n v="0.24"/>
    <s v="正常"/>
    <n v="119"/>
    <n v="0.18"/>
    <n v="0.39"/>
    <s v="正常"/>
    <n v="20400000"/>
    <s v="[54,81,66,66,66,66,66,66,66,66,81,81]"/>
    <d v="2025-01-10T00:00:00"/>
    <s v="日期正确"/>
    <x v="23"/>
    <s v="正常"/>
  </r>
  <r>
    <s v="PMP® Certification Course | Ace PMP Exam in 1st Attempt"/>
    <x v="23"/>
    <s v="pmp certification exam questions"/>
    <s v="重复"/>
    <n v="1"/>
    <s v="正常"/>
    <n v="1"/>
    <n v="880"/>
    <n v="1.06"/>
    <n v="41"/>
    <n v="0.21"/>
    <s v="正常"/>
    <n v="43"/>
    <n v="0.06"/>
    <n v="0.45"/>
    <s v="正常"/>
    <n v="94000000"/>
    <s v="[25,68,46,84,37,31,37,20,31,68,11,68]"/>
    <d v="2025-01-17T00:00:00"/>
    <s v="日期正确"/>
    <x v="24"/>
    <s v="正常"/>
  </r>
  <r>
    <s v="Simplilearn® Official Site | Online Courses"/>
    <x v="24"/>
    <s v="simplilearn americas"/>
    <s v="重复"/>
    <n v="1"/>
    <s v="正常"/>
    <n v="1"/>
    <n v="720"/>
    <n v="1.88"/>
    <n v="33"/>
    <n v="0.17"/>
    <s v="正常"/>
    <n v="62"/>
    <n v="0.09"/>
    <n v="0.16"/>
    <s v="正常"/>
    <n v="775000"/>
    <s v="[0,0,0,0,0,0,55,65,44,100,4,8]"/>
    <d v="2024-12-31T00:00:00"/>
    <s v="日期正确"/>
    <x v="24"/>
    <s v="正常"/>
  </r>
  <r>
    <s v="PMP® Exam &amp; Certification | Ace PMP Exam in 1st Attempt"/>
    <x v="25"/>
    <s v="pmp exam cost"/>
    <s v="唯一"/>
    <n v="2"/>
    <s v="正常"/>
    <n v="2"/>
    <n v="2400"/>
    <n v="2.2799999999999998"/>
    <n v="31"/>
    <n v="0.16"/>
    <s v="正常"/>
    <n v="70"/>
    <n v="0.1"/>
    <n v="0.28000000000000003"/>
    <s v="正常"/>
    <n v="11400000"/>
    <s v="[52,100,66,66,52,66,80,52,80,52,52,66]"/>
    <d v="2025-01-15T00:00:00"/>
    <s v="日期正确"/>
    <x v="25"/>
    <s v="正常"/>
  </r>
  <r>
    <s v="PMP® Exam &amp; Certification | Flat 40% Off - Enroll Now"/>
    <x v="25"/>
    <s v="pmp exam cost"/>
    <s v="唯一"/>
    <n v="2"/>
    <s v="正常"/>
    <n v="2"/>
    <n v="2400"/>
    <n v="2.2799999999999998"/>
    <n v="31"/>
    <n v="0.16"/>
    <s v="正常"/>
    <n v="70"/>
    <n v="0.1"/>
    <n v="0.28000000000000003"/>
    <s v="正常"/>
    <n v="11600000"/>
    <s v="[52,100,66,66,52,66,80,52,80,52,52,66]"/>
    <d v="2025-01-22T00:00:00"/>
    <s v="日期正确"/>
    <x v="17"/>
    <s v="正常"/>
  </r>
  <r>
    <s v="Simplilearn® Courses - Online Certification Courses"/>
    <x v="26"/>
    <s v="simplylearn"/>
    <s v="唯一"/>
    <n v="1"/>
    <s v="正常"/>
    <n v="1"/>
    <n v="590"/>
    <n v="2.31"/>
    <n v="27"/>
    <n v="0.14000000000000001"/>
    <s v="正常"/>
    <n v="62"/>
    <n v="0.09"/>
    <n v="0.14000000000000001"/>
    <s v="正常"/>
    <n v="0"/>
    <s v="[55,100,13,13,36,8,24,8,20,81,36,30]"/>
    <d v="2025-01-17T00:00:00"/>
    <s v="日期正确"/>
    <x v="26"/>
    <s v="正常"/>
  </r>
  <r>
    <s v="TOGAF® Architect Certification | Enroll in TOGAF® Course Now"/>
    <x v="27"/>
    <s v="togaf certification"/>
    <s v="唯一"/>
    <n v="2"/>
    <s v="正常"/>
    <n v="2"/>
    <n v="1900"/>
    <n v="2.34"/>
    <n v="24"/>
    <n v="0.12"/>
    <s v="正常"/>
    <n v="56"/>
    <n v="0.08"/>
    <n v="0.52"/>
    <s v="正常"/>
    <n v="1440000"/>
    <s v="[55,82,82,65,65,65,55,65,65,65,65,65]"/>
    <d v="2025-01-20T00:00:00"/>
    <s v="日期正确"/>
    <x v="27"/>
    <s v="正常"/>
  </r>
  <r>
    <s v="PMP® Certification - Flat 40% Off - Enroll Now"/>
    <x v="28"/>
    <s v="pmp exam fee"/>
    <s v="重复"/>
    <n v="2"/>
    <s v="正常"/>
    <n v="2"/>
    <n v="1900"/>
    <n v="1.85"/>
    <n v="24"/>
    <n v="0.12"/>
    <s v="正常"/>
    <n v="44"/>
    <n v="0.06"/>
    <n v="0.34"/>
    <s v="正常"/>
    <n v="8680000"/>
    <s v="[41,41,100,66,100,100,100,41,66,100,30,54]"/>
    <d v="2024-12-27T00:00:00"/>
    <s v="日期正确"/>
    <x v="28"/>
    <s v="正常"/>
  </r>
  <r>
    <s v="ITIL® 4 Certification Course | Accredited Course Curriculum"/>
    <x v="29"/>
    <s v="itil certifications"/>
    <s v="重复"/>
    <n v="4"/>
    <s v="正常"/>
    <n v="4"/>
    <n v="2900"/>
    <n v="2.33"/>
    <n v="20"/>
    <n v="0.1"/>
    <s v="正常"/>
    <n v="46"/>
    <n v="7.0000000000000007E-2"/>
    <n v="0.49"/>
    <s v="正常"/>
    <n v="11300000"/>
    <s v="[53,66,66,53,100,53,35,44,35,35,29,10]"/>
    <d v="2025-01-25T00:00:00"/>
    <s v="日期正确"/>
    <x v="23"/>
    <s v="正常"/>
  </r>
  <r>
    <s v="Simplilearn Online Bootcamps | Online Certification Courses"/>
    <x v="15"/>
    <s v="simplilearn login"/>
    <s v="唯一"/>
    <n v="2"/>
    <s v="正常"/>
    <n v="2"/>
    <n v="1600"/>
    <n v="1.31"/>
    <n v="20"/>
    <n v="0.1"/>
    <s v="正常"/>
    <n v="26"/>
    <n v="0.04"/>
    <n v="0.13"/>
    <s v="正常"/>
    <n v="75"/>
    <s v="[54,79,66,79,54,66,54,54,66,66,54,54]"/>
    <d v="2025-01-09T00:00:00"/>
    <s v="日期正确"/>
    <x v="3"/>
    <s v="正常"/>
  </r>
  <r>
    <s v="SAFe® Agilist Certification | Special Offer: Get $250 Off"/>
    <x v="30"/>
    <s v="scaled agile framework certification"/>
    <s v="唯一"/>
    <n v="4"/>
    <s v="正常"/>
    <n v="4"/>
    <n v="2900"/>
    <n v="3.77"/>
    <n v="20"/>
    <n v="0.1"/>
    <s v="正常"/>
    <n v="75"/>
    <n v="0.11"/>
    <n v="0.41"/>
    <s v="正常"/>
    <n v="5330000"/>
    <s v="[19,44,29,16,23,44,44,23,54,29,100,7]"/>
    <d v="2025-01-10T00:00:00"/>
    <s v="日期正确"/>
    <x v="6"/>
    <s v="正常"/>
  </r>
  <r>
    <s v="Simplilearn® Courses - Online Certification Courses"/>
    <x v="31"/>
    <s v="simlilearn"/>
    <s v="重复"/>
    <n v="1"/>
    <s v="正常"/>
    <n v="1"/>
    <n v="390"/>
    <n v="2.31"/>
    <n v="18"/>
    <n v="0.09"/>
    <s v="正常"/>
    <n v="41"/>
    <n v="0.06"/>
    <n v="0.14000000000000001"/>
    <s v="正常"/>
    <n v="4380000"/>
    <s v="[7,100,0,0,0,7,13,13,37,13,25,37]"/>
    <d v="2025-01-06T00:00:00"/>
    <s v="日期正确"/>
    <x v="2"/>
    <s v="正常"/>
  </r>
  <r>
    <s v="TOGAF® Architect Certification | Enroll in TOGAF® Course Now"/>
    <x v="32"/>
    <s v="togaf certified"/>
    <s v="重复"/>
    <n v="1"/>
    <s v="正常"/>
    <n v="1"/>
    <n v="390"/>
    <n v="2.35"/>
    <n v="18"/>
    <n v="0.09"/>
    <s v="正常"/>
    <n v="42"/>
    <n v="0.06"/>
    <n v="0.41"/>
    <s v="正常"/>
    <n v="1460000"/>
    <s v="[81,23,19,36,100,44,81,36,67,44,29,23]"/>
    <d v="2024-12-28T00:00:00"/>
    <s v="日期正确"/>
    <x v="5"/>
    <s v="正常"/>
  </r>
  <r>
    <s v="AWS Certification Course"/>
    <x v="33"/>
    <s v="amazon web service certification"/>
    <s v="重复"/>
    <n v="2"/>
    <s v="正常"/>
    <n v="2"/>
    <n v="1300"/>
    <n v="1.74"/>
    <n v="16"/>
    <n v="0.08"/>
    <s v="正常"/>
    <n v="27"/>
    <n v="0.04"/>
    <n v="0.34"/>
    <s v="正常"/>
    <n v="318000000"/>
    <s v="[0,0,0,0,1,100,1,2,4,1,2,0]"/>
    <d v="2025-01-24T00:00:00"/>
    <s v="日期正确"/>
    <x v="29"/>
    <s v="正常"/>
  </r>
  <r>
    <s v="PMP® Exam &amp; Certification | Confidently Ace The PMP Exam"/>
    <x v="34"/>
    <s v="pmp practice exam free"/>
    <s v="重复"/>
    <n v="1"/>
    <s v="正常"/>
    <n v="1"/>
    <n v="320"/>
    <n v="1.5"/>
    <n v="15"/>
    <n v="0.08"/>
    <s v="正常"/>
    <n v="22"/>
    <n v="0.03"/>
    <n v="0.43"/>
    <s v="正常"/>
    <n v="3230000"/>
    <s v="[81,28,35,35,54,66,44,35,44,100,35,81]"/>
    <d v="2025-01-01T00:00:00"/>
    <s v="日期正确"/>
    <x v="30"/>
    <s v="正常"/>
  </r>
  <r>
    <s v="PMP® Exam &amp; Certification | Ace PMP Exam in 1st Attempt"/>
    <x v="35"/>
    <s v="pmp study course"/>
    <s v="重复"/>
    <n v="1"/>
    <s v="正常"/>
    <n v="1"/>
    <n v="320"/>
    <n v="8.9600000000000009"/>
    <n v="15"/>
    <n v="0.08"/>
    <s v="正常"/>
    <n v="134"/>
    <n v="0.2"/>
    <n v="0.19"/>
    <s v="正常"/>
    <n v="35800000"/>
    <s v="[0,100,66,81,35,35,44,100,54,44,54,81]"/>
    <d v="2025-01-24T00:00:00"/>
    <s v="日期正确"/>
    <x v="15"/>
    <s v="正常"/>
  </r>
  <r>
    <s v="SAFe® Agilist Certification | Limited Offer: Enroll @ $545"/>
    <x v="30"/>
    <s v="scaled agile framework certification"/>
    <s v="唯一"/>
    <n v="6"/>
    <s v="正常"/>
    <n v="6"/>
    <n v="2900"/>
    <n v="3.77"/>
    <n v="14"/>
    <n v="7.0000000000000007E-2"/>
    <s v="正常"/>
    <n v="52"/>
    <n v="0.08"/>
    <n v="0.41"/>
    <s v="正常"/>
    <n v="5330000"/>
    <s v="[19,44,29,16,23,44,44,23,54,29,100,7]"/>
    <d v="2025-01-10T00:00:00"/>
    <s v="日期正确"/>
    <x v="6"/>
    <s v="正常"/>
  </r>
  <r>
    <s v="PMP® Certification Course | Ace PMP Exam in 1st Attempt"/>
    <x v="36"/>
    <s v="how to get pmp certification"/>
    <s v="重复"/>
    <n v="4"/>
    <s v="正常"/>
    <n v="4"/>
    <n v="1900"/>
    <n v="3.92"/>
    <n v="13"/>
    <n v="0.06"/>
    <s v="正常"/>
    <n v="50"/>
    <n v="7.0000000000000007E-2"/>
    <n v="0.69"/>
    <s v="正常"/>
    <n v="39400000"/>
    <s v="[65,55,65,65,65,44,55,100,65,55,65,65]"/>
    <d v="2025-01-15T00:00:00"/>
    <s v="日期正确"/>
    <x v="18"/>
    <s v="正常"/>
  </r>
  <r>
    <s v="TOGAF® Architect Certification | TOGAF® Free Exam Retake"/>
    <x v="27"/>
    <s v="togaf certification"/>
    <s v="唯一"/>
    <n v="4"/>
    <s v="正常"/>
    <n v="4"/>
    <n v="1900"/>
    <n v="2.35"/>
    <n v="13"/>
    <n v="0.06"/>
    <s v="正常"/>
    <n v="30"/>
    <n v="0.04"/>
    <n v="0.41"/>
    <s v="正常"/>
    <n v="1750000"/>
    <s v="[65,55,82,82,65,65,65,55,65,65,65,65]"/>
    <d v="2024-12-30T00:00:00"/>
    <s v="日期正确"/>
    <x v="11"/>
    <s v="正常"/>
  </r>
  <r>
    <s v="Simplilearn® Courses"/>
    <x v="22"/>
    <s v="simply learn"/>
    <s v="唯一"/>
    <n v="2"/>
    <s v="正常"/>
    <n v="2"/>
    <n v="1000"/>
    <n v="2.31"/>
    <n v="13"/>
    <n v="0.06"/>
    <s v="正常"/>
    <n v="30"/>
    <n v="0.04"/>
    <n v="0.14000000000000001"/>
    <s v="正常"/>
    <n v="4350000"/>
    <s v="[7,13,8,41,41,41,36,54,30,79,66,36]"/>
    <d v="2025-01-06T00:00:00"/>
    <s v="日期正确"/>
    <x v="22"/>
    <s v="正常"/>
  </r>
  <r>
    <s v="Simplilearn® Courses"/>
    <x v="37"/>
    <s v="simplelern"/>
    <s v="重复"/>
    <n v="1"/>
    <s v="正常"/>
    <n v="1"/>
    <n v="260"/>
    <n v="1.88"/>
    <n v="12"/>
    <n v="0.06"/>
    <s v="正常"/>
    <n v="22"/>
    <n v="0.03"/>
    <n v="0.16"/>
    <s v="正常"/>
    <n v="4570000"/>
    <s v="[67,0,100,0,0,0,0,55,0,0,0,0]"/>
    <d v="2025-01-01T00:00:00"/>
    <s v="日期正确"/>
    <x v="8"/>
    <s v="正常"/>
  </r>
  <r>
    <s v="PMP® Certification Course | Ace PMP Exam in 1st Attempt"/>
    <x v="38"/>
    <s v="pmp course"/>
    <s v="重复"/>
    <n v="5"/>
    <s v="正常"/>
    <n v="5"/>
    <n v="2400"/>
    <n v="7.22"/>
    <n v="12"/>
    <n v="0.06"/>
    <s v="正常"/>
    <n v="86"/>
    <n v="0.13"/>
    <n v="0.69"/>
    <s v="正常"/>
    <n v="71600000"/>
    <s v="[28,54,54,36,28,36,28,43,36,36,36,28]"/>
    <d v="2025-01-23T00:00:00"/>
    <s v="日期正确"/>
    <x v="2"/>
    <s v="正常"/>
  </r>
  <r>
    <s v="Simplilearn® Official Site"/>
    <x v="39"/>
    <s v="login simplilearn"/>
    <s v="重复"/>
    <n v="1"/>
    <s v="正常"/>
    <n v="1"/>
    <n v="260"/>
    <n v="1.31"/>
    <n v="12"/>
    <n v="0.06"/>
    <s v="正常"/>
    <n v="15"/>
    <n v="0.02"/>
    <n v="0.13"/>
    <s v="正常"/>
    <n v="1920000"/>
    <s v="[0,0,0,0,0,81,0,81,100,54,23,0]"/>
    <d v="2025-01-08T00:00:00"/>
    <s v="日期正确"/>
    <x v="11"/>
    <s v="正常"/>
  </r>
  <r>
    <s v="PMP® Exam &amp; Certification"/>
    <x v="40"/>
    <s v="pmp test"/>
    <s v="重复"/>
    <n v="4"/>
    <s v="正常"/>
    <n v="4"/>
    <n v="1600"/>
    <n v="2.6"/>
    <n v="11"/>
    <n v="0.05"/>
    <s v="正常"/>
    <n v="28"/>
    <n v="0.04"/>
    <n v="0.39"/>
    <s v="正常"/>
    <n v="51700000"/>
    <s v="[20,29,29,29,22,22,22,22,22,22,100,43]"/>
    <d v="2025-01-22T00:00:00"/>
    <s v="日期正确"/>
    <x v="31"/>
    <s v="正常"/>
  </r>
  <r>
    <s v="Simplilearn® Official Site"/>
    <x v="41"/>
    <s v="simplilern"/>
    <s v="重复"/>
    <n v="1"/>
    <s v="正常"/>
    <n v="1"/>
    <n v="210"/>
    <n v="2.31"/>
    <n v="9"/>
    <n v="0.04"/>
    <s v="正常"/>
    <n v="20"/>
    <n v="0.03"/>
    <n v="0.14000000000000001"/>
    <s v="正常"/>
    <n v="4330000"/>
    <s v="[0,0,0,100,0,0,0,0,45,0,8,0]"/>
    <d v="2025-01-05T00:00:00"/>
    <s v="日期正确"/>
    <x v="23"/>
    <s v="正常"/>
  </r>
  <r>
    <s v="SAFe® Agilist Certification | Special Offer: Get $250 Off"/>
    <x v="42"/>
    <s v="scale agile certification"/>
    <s v="重复"/>
    <n v="2"/>
    <s v="正常"/>
    <n v="0"/>
    <n v="720"/>
    <n v="3.77"/>
    <n v="9"/>
    <n v="0.04"/>
    <s v="正常"/>
    <n v="33"/>
    <n v="0.05"/>
    <n v="0.41"/>
    <s v="正常"/>
    <n v="37100000"/>
    <s v="[0,0,0,0,0,0,0,0,0,100,0,0]"/>
    <d v="2025-01-26T00:00:00"/>
    <s v="日期正确"/>
    <x v="17"/>
    <s v="正常"/>
  </r>
  <r>
    <s v="AWS Certified Cloud Practioner | Special Offer Get Flat 43% Off"/>
    <x v="43"/>
    <s v="aws practitioner certification"/>
    <s v="重复"/>
    <n v="3"/>
    <s v="正常"/>
    <n v="0"/>
    <n v="1000"/>
    <n v="1.5"/>
    <n v="9"/>
    <n v="0.04"/>
    <s v="正常"/>
    <n v="13"/>
    <n v="0.02"/>
    <n v="0.41"/>
    <s v="正常"/>
    <n v="29200000"/>
    <s v="[76,100,67,76,76,67,67,76,76,76,76,76]"/>
    <d v="2025-01-26T00:00:00"/>
    <s v="日期正确"/>
    <x v="0"/>
    <s v="正常"/>
  </r>
  <r>
    <s v="TOGAF® Architect Certification - TOGAF® Free Exam Retake"/>
    <x v="27"/>
    <s v="togaf certification"/>
    <s v="唯一"/>
    <n v="6"/>
    <s v="正常"/>
    <n v="6"/>
    <n v="1900"/>
    <n v="2.34"/>
    <n v="9"/>
    <n v="0.04"/>
    <s v="正常"/>
    <n v="21"/>
    <n v="0.03"/>
    <n v="0.52"/>
    <s v="正常"/>
    <n v="1440000"/>
    <s v="[55,82,82,65,65,65,55,65,65,65,65,65]"/>
    <d v="2025-01-20T00:00:00"/>
    <s v="日期正确"/>
    <x v="27"/>
    <s v="正常"/>
  </r>
  <r>
    <s v="PMP® Exam &amp; Certification | Ace PMP Exam in 1st Attempt"/>
    <x v="44"/>
    <s v="pmi pmp certification"/>
    <s v="重复"/>
    <n v="2"/>
    <s v="正常"/>
    <n v="2"/>
    <n v="720"/>
    <n v="3.98"/>
    <n v="9"/>
    <n v="0.04"/>
    <s v="正常"/>
    <n v="35"/>
    <n v="0.05"/>
    <n v="0.56999999999999995"/>
    <s v="正常"/>
    <n v="8920000"/>
    <s v="[45,55,24,62,55,45,30,55,62,36,55,36]"/>
    <d v="2025-01-13T00:00:00"/>
    <s v="日期正确"/>
    <x v="2"/>
    <s v="正常"/>
  </r>
  <r>
    <s v="TOGAF® Enterprise Architecture | Master TOGAF® Core Concepts"/>
    <x v="45"/>
    <s v="togaf training"/>
    <s v="重复"/>
    <n v="1"/>
    <s v="正常"/>
    <n v="1"/>
    <n v="210"/>
    <n v="3.85"/>
    <n v="9"/>
    <n v="0.04"/>
    <s v="正常"/>
    <n v="34"/>
    <n v="0.05"/>
    <n v="0.38"/>
    <s v="正常"/>
    <n v="4160000"/>
    <s v="[54,54,54,43,35,43,35,43,22,66,54,43]"/>
    <d v="2025-01-25T00:00:00"/>
    <s v="日期正确"/>
    <x v="27"/>
    <s v="正常"/>
  </r>
  <r>
    <s v="Simplilearn Online Bootcamps | Online Certification Courses"/>
    <x v="46"/>
    <s v="simpilearn"/>
    <s v="重复"/>
    <n v="1"/>
    <s v="正常"/>
    <n v="1"/>
    <n v="170"/>
    <n v="2.31"/>
    <n v="7"/>
    <n v="0.03"/>
    <s v="正常"/>
    <n v="16"/>
    <n v="0.02"/>
    <n v="0.14000000000000001"/>
    <s v="正常"/>
    <n v="4260000"/>
    <s v="[4,100,12,12,1,0,54,15,44,4,54,29]"/>
    <d v="2025-01-22T00:00:00"/>
    <s v="日期正确"/>
    <x v="32"/>
    <s v="正常"/>
  </r>
  <r>
    <s v="Simplilearn® Courses"/>
    <x v="26"/>
    <s v="simplylearn"/>
    <s v="唯一"/>
    <n v="2"/>
    <s v="正常"/>
    <n v="2"/>
    <n v="590"/>
    <n v="1.88"/>
    <n v="7"/>
    <n v="0.03"/>
    <s v="正常"/>
    <n v="13"/>
    <n v="0.02"/>
    <n v="0.16"/>
    <s v="正常"/>
    <n v="4820000"/>
    <s v="[24,55,100,13,13,36,8,24,8,20,81,36]"/>
    <d v="2025-01-01T00:00:00"/>
    <s v="日期正确"/>
    <x v="33"/>
    <s v="正常"/>
  </r>
  <r>
    <s v="Simplilearn Courses"/>
    <x v="47"/>
    <s v="simplilearning"/>
    <s v="重复"/>
    <n v="1"/>
    <s v="正常"/>
    <n v="1"/>
    <n v="170"/>
    <n v="0"/>
    <n v="7"/>
    <n v="0.03"/>
    <s v="正常"/>
    <n v="0"/>
    <n v="0"/>
    <n v="0"/>
    <s v="正常"/>
    <n v="4240000"/>
    <s v="[0,0,0,0,100,1,0,0,36,0,0,1]"/>
    <d v="2025-01-13T00:00:00"/>
    <s v="日期正确"/>
    <x v="0"/>
    <s v="正常"/>
  </r>
  <r>
    <s v="Certified Scrum Product Owner® | Limited Offer: Flat $279 Off"/>
    <x v="48"/>
    <s v="scrum master certification free"/>
    <s v="重复"/>
    <n v="4"/>
    <s v="正常"/>
    <n v="4"/>
    <n v="1000"/>
    <n v="1.79"/>
    <n v="7"/>
    <n v="0.03"/>
    <s v="正常"/>
    <n v="12"/>
    <n v="0.01"/>
    <n v="0.55000000000000004"/>
    <s v="正常"/>
    <n v="4570000"/>
    <s v="[16,20,20,20,20,16,13,100,80,13,10,13]"/>
    <d v="2025-01-06T00:00:00"/>
    <s v="日期正确"/>
    <x v="34"/>
    <s v="正常"/>
  </r>
  <r>
    <s v="TOGAF® 10 Certification Course | Master TOGAF® Core Concepts"/>
    <x v="49"/>
    <s v="togaf certifications"/>
    <s v="重复"/>
    <n v="1"/>
    <s v="正常"/>
    <n v="1"/>
    <n v="140"/>
    <n v="2.35"/>
    <n v="6"/>
    <n v="0.03"/>
    <s v="正常"/>
    <n v="14"/>
    <n v="0.02"/>
    <n v="0.41"/>
    <s v="正常"/>
    <n v="2880000"/>
    <s v="[6,6,100,9,6,4,66,0,1,1,0,0]"/>
    <d v="2025-01-01T00:00:00"/>
    <s v="日期正确"/>
    <x v="35"/>
    <s v="正常"/>
  </r>
  <r>
    <s v="Simplilearn Online Bootcamps | Online Certification Courses"/>
    <x v="50"/>
    <s v="smplilearn"/>
    <s v="唯一"/>
    <n v="1"/>
    <s v="正常"/>
    <n v="1"/>
    <n v="140"/>
    <n v="2.31"/>
    <n v="6"/>
    <n v="0.03"/>
    <s v="正常"/>
    <n v="13"/>
    <n v="0.02"/>
    <n v="0.14000000000000001"/>
    <s v="正常"/>
    <n v="4210000"/>
    <s v="[0,0,0,0,0,0,0,100,0,0,81,0]"/>
    <d v="2025-01-22T00:00:00"/>
    <s v="日期正确"/>
    <x v="32"/>
    <s v="正常"/>
  </r>
  <r>
    <s v="Simplilearn® Courses | Online Certification Courses"/>
    <x v="51"/>
    <s v="simplileaern"/>
    <s v="唯一"/>
    <n v="1"/>
    <s v="正常"/>
    <n v="1"/>
    <n v="140"/>
    <n v="2.31"/>
    <n v="6"/>
    <n v="0.03"/>
    <s v="正常"/>
    <n v="13"/>
    <n v="0.02"/>
    <n v="0.14000000000000001"/>
    <s v="正常"/>
    <n v="4480000"/>
    <s v="[0,0,0,0,0,0,0,0,100,0,0,0]"/>
    <d v="2025-01-18T00:00:00"/>
    <s v="日期正确"/>
    <x v="25"/>
    <s v="正常"/>
  </r>
  <r>
    <s v="Simplilearn® Courses"/>
    <x v="52"/>
    <s v="simplileanr"/>
    <s v="重复"/>
    <n v="1"/>
    <s v="正常"/>
    <n v="1"/>
    <n v="140"/>
    <n v="2.31"/>
    <n v="6"/>
    <n v="0.03"/>
    <s v="正常"/>
    <n v="13"/>
    <n v="0.02"/>
    <n v="0.14000000000000001"/>
    <s v="正常"/>
    <n v="4340000"/>
    <s v="[0,0,0,0,0,0,0,0,100,0,0,0]"/>
    <d v="2025-01-19T00:00:00"/>
    <s v="日期正确"/>
    <x v="32"/>
    <s v="正常"/>
  </r>
  <r>
    <s v="Become Certified Scrum Master | Flash Sale: Enroll @ $270"/>
    <x v="53"/>
    <s v="certified scrum certification"/>
    <s v="重复"/>
    <n v="4"/>
    <s v="正常"/>
    <n v="4"/>
    <n v="880"/>
    <n v="3.01"/>
    <n v="6"/>
    <n v="0.03"/>
    <s v="正常"/>
    <n v="18"/>
    <n v="0.02"/>
    <n v="0.56000000000000005"/>
    <s v="正常"/>
    <n v="6460000"/>
    <s v="[2,4,13,30,100,81,100,81,100,30,45,24]"/>
    <d v="2025-01-10T00:00:00"/>
    <s v="日期正确"/>
    <x v="10"/>
    <s v="正常"/>
  </r>
  <r>
    <s v="Simplilearn® Official Site - Online Certification Courses"/>
    <x v="54"/>
    <s v="simpllearn"/>
    <s v="重复"/>
    <n v="1"/>
    <s v="正常"/>
    <n v="1"/>
    <n v="140"/>
    <n v="2.31"/>
    <n v="6"/>
    <n v="0.03"/>
    <s v="正常"/>
    <n v="13"/>
    <n v="0.02"/>
    <n v="0.14000000000000001"/>
    <s v="正常"/>
    <n v="4210000"/>
    <s v="[7,100,11,14,1,0,2,1,39,1,1,1]"/>
    <d v="2025-01-15T00:00:00"/>
    <s v="日期正确"/>
    <x v="9"/>
    <s v="正常"/>
  </r>
  <r>
    <s v="PMP® Certification Course | Ace PMP Exam in 1st Attempt"/>
    <x v="55"/>
    <s v="pmp certification training"/>
    <s v="重复"/>
    <n v="5"/>
    <s v="正常"/>
    <n v="5"/>
    <n v="1300"/>
    <n v="9.39"/>
    <n v="6"/>
    <n v="0.03"/>
    <s v="正常"/>
    <n v="56"/>
    <n v="0.08"/>
    <n v="0.42"/>
    <s v="正常"/>
    <n v="209000000"/>
    <s v="[8,29,29,13,8,7,7,8,7,10,10,8]"/>
    <d v="2025-01-24T00:00:00"/>
    <s v="日期正确"/>
    <x v="2"/>
    <s v="正常"/>
  </r>
  <r>
    <s v="Simplilearn® Courses | Online Certification Courses"/>
    <x v="56"/>
    <s v="simplilarn"/>
    <s v="重复"/>
    <n v="1"/>
    <s v="正常"/>
    <n v="1"/>
    <n v="110"/>
    <n v="1.88"/>
    <n v="5"/>
    <n v="0.02"/>
    <s v="正常"/>
    <n v="9"/>
    <n v="0.01"/>
    <n v="0.16"/>
    <s v="正常"/>
    <n v="4570000"/>
    <s v="[0,0,100,0,0,0,0,0,0,0,0,0]"/>
    <d v="2024-12-31T00:00:00"/>
    <s v="日期正确"/>
    <x v="17"/>
    <s v="正常"/>
  </r>
  <r>
    <s v="PMP® Certification Course | Ace PMP Exam in 1st Attempt"/>
    <x v="57"/>
    <s v="project management professional prep course"/>
    <s v="重复"/>
    <n v="3"/>
    <s v="正常"/>
    <n v="3"/>
    <n v="590"/>
    <n v="8.9600000000000009"/>
    <n v="5"/>
    <n v="0.02"/>
    <s v="正常"/>
    <n v="44"/>
    <n v="0.06"/>
    <n v="0.19"/>
    <s v="正常"/>
    <n v="41600000"/>
    <s v="[11,88,26,72,72,72,72,88,100,26,17,39]"/>
    <d v="2025-01-23T00:00:00"/>
    <s v="日期正确"/>
    <x v="27"/>
    <s v="正常"/>
  </r>
  <r>
    <s v="PMP® Training &amp; Exam - Ace PMP Exam in 1st Attempt"/>
    <x v="58"/>
    <s v="pmp exam practice test"/>
    <s v="重复"/>
    <n v="3"/>
    <s v="正常"/>
    <n v="3"/>
    <n v="590"/>
    <n v="2.08"/>
    <n v="5"/>
    <n v="0.02"/>
    <s v="正常"/>
    <n v="10"/>
    <n v="0.01"/>
    <n v="0.52"/>
    <s v="正常"/>
    <n v="5570000"/>
    <s v="[30,8,13,16,16,10,100,13,41,8,16,2]"/>
    <d v="2025-01-26T00:00:00"/>
    <s v="日期正确"/>
    <x v="36"/>
    <s v="正常"/>
  </r>
  <r>
    <s v="PMP® Certification Training | Ace PMP Exam in 1st Attempt"/>
    <x v="59"/>
    <s v="how to prepare for pmp certification"/>
    <s v="唯一"/>
    <n v="1"/>
    <s v="正常"/>
    <n v="1"/>
    <n v="110"/>
    <n v="3.07"/>
    <n v="5"/>
    <n v="0.02"/>
    <s v="正常"/>
    <n v="15"/>
    <n v="0.02"/>
    <n v="0.4"/>
    <s v="正常"/>
    <n v="10200000"/>
    <s v="[52,100,64,52,82,64,64,82,64,64,64,82]"/>
    <d v="2025-01-13T00:00:00"/>
    <s v="日期正确"/>
    <x v="37"/>
    <s v="正常"/>
  </r>
  <r>
    <s v="ITIL Foundations Course | 100% Exam Pass Guarantee"/>
    <x v="60"/>
    <s v="itil 4 foundation certification"/>
    <s v="唯一"/>
    <n v="2"/>
    <s v="正常"/>
    <n v="2"/>
    <n v="390"/>
    <n v="3.33"/>
    <n v="5"/>
    <n v="0.02"/>
    <s v="正常"/>
    <n v="16"/>
    <n v="0.02"/>
    <n v="0.52"/>
    <s v="正常"/>
    <n v="9890000"/>
    <s v="[66,81,81,100,81,100,81,81,100,81,100,81]"/>
    <d v="2025-01-09T00:00:00"/>
    <s v="日期正确"/>
    <x v="17"/>
    <s v="正常"/>
  </r>
  <r>
    <s v="Simplilearn® Courses | Level Up Your Skills | Launch Your Career"/>
    <x v="61"/>
    <s v="simpli lear"/>
    <s v="重复"/>
    <n v="1"/>
    <s v="正常"/>
    <n v="1"/>
    <n v="90"/>
    <n v="1.88"/>
    <n v="4"/>
    <n v="0.02"/>
    <s v="正常"/>
    <n v="7"/>
    <n v="0.01"/>
    <n v="0.16"/>
    <s v="正常"/>
    <n v="4460000"/>
    <s v="[0,0,100,0,0,0,0,0,0,0,0,0]"/>
    <d v="2025-01-02T00:00:00"/>
    <s v="日期正确"/>
    <x v="25"/>
    <s v="正常"/>
  </r>
  <r>
    <s v="Simplilearn® Courses"/>
    <x v="62"/>
    <s v="simplilearn azure"/>
    <s v="重复"/>
    <n v="1"/>
    <s v="正常"/>
    <n v="1"/>
    <n v="90"/>
    <n v="0"/>
    <n v="4"/>
    <n v="0.02"/>
    <s v="正常"/>
    <n v="0"/>
    <n v="0"/>
    <n v="0.43"/>
    <s v="正常"/>
    <n v="231000"/>
    <s v="[2,2,2,2,2,2,2,100,10,2,2,2]"/>
    <d v="2025-01-20T00:00:00"/>
    <s v="日期正确"/>
    <x v="38"/>
    <s v="正常"/>
  </r>
  <r>
    <s v="Cloud Architect Certificate - Become a Cloud Architect"/>
    <x v="63"/>
    <s v="cloud architect certification"/>
    <s v="重复"/>
    <n v="3"/>
    <s v="正常"/>
    <n v="3"/>
    <n v="480"/>
    <n v="6.39"/>
    <n v="4"/>
    <n v="0.02"/>
    <s v="正常"/>
    <n v="25"/>
    <n v="0.03"/>
    <n v="0.4"/>
    <s v="正常"/>
    <n v="63800000"/>
    <s v="[36,54,44,36,29,44,36,36,36,100,100,81]"/>
    <d v="2025-01-22T00:00:00"/>
    <s v="日期正确"/>
    <x v="1"/>
    <s v="正常"/>
  </r>
  <r>
    <s v="PMP® Certification Training | Flat 40% Off - Enroll Now"/>
    <x v="64"/>
    <s v="cheap pmp certification"/>
    <s v="重复"/>
    <n v="1"/>
    <s v="正常"/>
    <n v="1"/>
    <n v="90"/>
    <n v="5.98"/>
    <n v="4"/>
    <n v="0.02"/>
    <s v="正常"/>
    <n v="23"/>
    <n v="0.03"/>
    <n v="0.46"/>
    <s v="正常"/>
    <n v="40900000"/>
    <s v="[41,41,41,52,52,52,64,64,52,64,82,82]"/>
    <d v="2025-01-18T00:00:00"/>
    <s v="日期正确"/>
    <x v="39"/>
    <s v="正常"/>
  </r>
  <r>
    <s v="CSPO® Certification Course | Limited Offer: Flat $279 Off"/>
    <x v="65"/>
    <s v="cspo training"/>
    <s v="重复"/>
    <n v="3"/>
    <s v="正常"/>
    <n v="3"/>
    <n v="480"/>
    <n v="6.97"/>
    <n v="4"/>
    <n v="0.02"/>
    <s v="正常"/>
    <n v="27"/>
    <n v="0.04"/>
    <n v="0.24"/>
    <s v="正常"/>
    <n v="8690000"/>
    <s v="[5,7,10,13,13,7,8,5,100,41,8,13]"/>
    <d v="2024-12-31T00:00:00"/>
    <s v="日期正确"/>
    <x v="17"/>
    <s v="正常"/>
  </r>
  <r>
    <s v="Simplilearn® Official Site"/>
    <x v="66"/>
    <s v="simplilearn log in"/>
    <s v="重复"/>
    <n v="1"/>
    <s v="正常"/>
    <n v="1"/>
    <n v="90"/>
    <n v="1.31"/>
    <n v="4"/>
    <n v="0.02"/>
    <s v="正常"/>
    <n v="5"/>
    <n v="0"/>
    <n v="0.13"/>
    <s v="正常"/>
    <n v="61"/>
    <s v="[42,65,42,53,100,19,3,3,3,42,3,34]"/>
    <d v="2025-01-20T00:00:00"/>
    <s v="日期正确"/>
    <x v="40"/>
    <s v="正常"/>
  </r>
  <r>
    <s v="Simplilearn ITIL 4 Training - Online Certification Courses"/>
    <x v="67"/>
    <s v="skillup by simplilearn"/>
    <s v="唯一"/>
    <n v="1"/>
    <s v="正常"/>
    <n v="1"/>
    <n v="90"/>
    <n v="4.47"/>
    <n v="4"/>
    <n v="0.02"/>
    <s v="正常"/>
    <n v="17"/>
    <n v="0.02"/>
    <n v="0.31"/>
    <s v="正常"/>
    <n v="55"/>
    <s v="[15,8,8,11,8,8,6,23,66,6,8,8]"/>
    <d v="2024-12-31T00:00:00"/>
    <s v="日期正确"/>
    <x v="32"/>
    <s v="正常"/>
  </r>
  <r>
    <s v="CSM Scrum Master Course Online - Today's Offer: Up To 51% Off"/>
    <x v="68"/>
    <s v="certified scrum master class"/>
    <s v="重复"/>
    <n v="2"/>
    <s v="正常"/>
    <n v="2"/>
    <n v="260"/>
    <n v="5.46"/>
    <n v="3"/>
    <n v="0.01"/>
    <s v="正常"/>
    <n v="16"/>
    <n v="0.02"/>
    <n v="0.43"/>
    <s v="正常"/>
    <n v="4450000"/>
    <s v="[43,100,82,66,100,100,35,66,35,66,100,43]"/>
    <d v="2025-01-24T00:00:00"/>
    <s v="日期正确"/>
    <x v="41"/>
    <s v="正常"/>
  </r>
  <r>
    <s v="Simplilearn PMP® Course | Flat 40% Off - Enroll Now"/>
    <x v="69"/>
    <s v="similearn"/>
    <s v="重复"/>
    <n v="1"/>
    <s v="正常"/>
    <n v="1"/>
    <n v="70"/>
    <n v="2.31"/>
    <n v="3"/>
    <n v="0.01"/>
    <s v="正常"/>
    <n v="6"/>
    <n v="0"/>
    <n v="0.14000000000000001"/>
    <s v="正常"/>
    <n v="4210000"/>
    <s v="[0,0,0,0,0,0,0,100,0,0,0,0]"/>
    <d v="2025-01-22T00:00:00"/>
    <s v="日期正确"/>
    <x v="8"/>
    <s v="正常"/>
  </r>
  <r>
    <s v="CSM Scrum Master Course Online | Today's Offer: Up To 51% Off"/>
    <x v="70"/>
    <s v="certified scrum master certificate"/>
    <s v="重复"/>
    <n v="2"/>
    <s v="正常"/>
    <n v="2"/>
    <n v="260"/>
    <n v="3.21"/>
    <n v="3"/>
    <n v="0.01"/>
    <s v="正常"/>
    <n v="9"/>
    <n v="0.01"/>
    <n v="0.64"/>
    <s v="正常"/>
    <n v="13700000"/>
    <s v="[0,0,0,0,0,0,0,0,0,100,0,0]"/>
    <d v="2025-01-22T00:00:00"/>
    <s v="日期正确"/>
    <x v="42"/>
    <s v="正常"/>
  </r>
  <r>
    <s v="PMP® Certification Course"/>
    <x v="71"/>
    <s v="how to get project management certification"/>
    <s v="重复"/>
    <n v="3"/>
    <s v="正常"/>
    <n v="3"/>
    <n v="390"/>
    <n v="7.37"/>
    <n v="3"/>
    <n v="0.01"/>
    <s v="正常"/>
    <n v="22"/>
    <n v="0.03"/>
    <n v="0.72"/>
    <s v="正常"/>
    <n v="375000000"/>
    <s v="[66,100,81,54,81,66,28,100,81,81,81,66]"/>
    <d v="2025-01-21T00:00:00"/>
    <s v="日期正确"/>
    <x v="20"/>
    <s v="正常"/>
  </r>
  <r>
    <s v="Simplilearn Courses | Online Courses"/>
    <x v="72"/>
    <s v="simplilearn courses"/>
    <s v="重复"/>
    <n v="1"/>
    <s v="正常"/>
    <n v="1"/>
    <n v="70"/>
    <n v="6.31"/>
    <n v="3"/>
    <n v="0.01"/>
    <s v="正常"/>
    <n v="18"/>
    <n v="0.02"/>
    <n v="0.38"/>
    <s v="正常"/>
    <n v="3310000"/>
    <s v="[8,11,11,11,8,15,3,18,8,23,18,15]"/>
    <d v="2025-01-09T00:00:00"/>
    <s v="日期正确"/>
    <x v="7"/>
    <s v="正常"/>
  </r>
  <r>
    <s v="CSM Scrum Master Course Online | Today's Offer: Up To 51% Off"/>
    <x v="73"/>
    <s v="certified scrum master course"/>
    <s v="重复"/>
    <n v="3"/>
    <s v="正常"/>
    <n v="3"/>
    <n v="390"/>
    <n v="5.46"/>
    <n v="3"/>
    <n v="0.01"/>
    <s v="正常"/>
    <n v="16"/>
    <n v="0.02"/>
    <n v="0.43"/>
    <s v="正常"/>
    <n v="49100000"/>
    <s v="[66,100,81,66,100,81,66,44,3,81,35,28]"/>
    <d v="2025-01-18T00:00:00"/>
    <s v="日期正确"/>
    <x v="19"/>
    <s v="正常"/>
  </r>
  <r>
    <s v="Product Owner (CSPO®) Course | Limited Offer: Flat $279 Off"/>
    <x v="74"/>
    <s v="a certified scrum product owner"/>
    <s v="重复"/>
    <n v="1"/>
    <s v="正常"/>
    <n v="1"/>
    <n v="70"/>
    <n v="3.02"/>
    <n v="3"/>
    <n v="0.01"/>
    <s v="正常"/>
    <n v="9"/>
    <n v="0.01"/>
    <n v="0.42"/>
    <s v="正常"/>
    <n v="8800000"/>
    <s v="[0,77,77,77,77,44,77,55,77,77,77,77]"/>
    <d v="2025-01-16T00:00:00"/>
    <s v="日期正确"/>
    <x v="17"/>
    <s v="正常"/>
  </r>
  <r>
    <s v="Master ITIL 4 Foundation - Clear ITIL Exam on 1st Attempt"/>
    <x v="75"/>
    <s v="itil foundation mock test"/>
    <s v="重复"/>
    <n v="1"/>
    <s v="正常"/>
    <n v="1"/>
    <n v="70"/>
    <n v="1.8"/>
    <n v="3"/>
    <n v="0.01"/>
    <s v="正常"/>
    <n v="5"/>
    <n v="0"/>
    <n v="0.26"/>
    <s v="正常"/>
    <n v="277000"/>
    <s v="[77,77,100,100,77,77,55,77,77,55,77,55]"/>
    <d v="2025-01-24T00:00:00"/>
    <s v="日期正确"/>
    <x v="43"/>
    <s v="正常"/>
  </r>
  <r>
    <s v="Simplilearn PMP® Course | Special Offer: Get $400 Off"/>
    <x v="76"/>
    <s v="siplilearn"/>
    <s v="唯一"/>
    <n v="1"/>
    <s v="正常"/>
    <n v="1"/>
    <n v="70"/>
    <n v="1.88"/>
    <n v="3"/>
    <n v="0.01"/>
    <s v="正常"/>
    <n v="5"/>
    <n v="0"/>
    <n v="0.16"/>
    <s v="正常"/>
    <n v="4790000"/>
    <s v="[0,4,4,0,0,0,0,0,0,0,0,100]"/>
    <d v="2025-01-02T00:00:00"/>
    <s v="日期正确"/>
    <x v="25"/>
    <s v="正常"/>
  </r>
  <r>
    <s v="Simplilearn Online Bootcamps | Level Up Your Skills"/>
    <x v="77"/>
    <s v="simplielarn"/>
    <s v="重复"/>
    <n v="1"/>
    <s v="正常"/>
    <n v="1"/>
    <n v="70"/>
    <n v="2.31"/>
    <n v="3"/>
    <n v="0.01"/>
    <s v="正常"/>
    <n v="6"/>
    <n v="0"/>
    <n v="0.14000000000000001"/>
    <s v="正常"/>
    <n v="4260000"/>
    <s v="[11,0,26,26,53,42,34,53,26,3,34,15]"/>
    <d v="2025-01-23T00:00:00"/>
    <s v="日期正确"/>
    <x v="22"/>
    <s v="正常"/>
  </r>
  <r>
    <s v="Simplilearn® Courses | Online Certification Courses"/>
    <x v="78"/>
    <s v="simplielearn"/>
    <s v="唯一"/>
    <n v="1"/>
    <s v="正常"/>
    <n v="0"/>
    <n v="70"/>
    <n v="2.31"/>
    <n v="3"/>
    <n v="0.01"/>
    <s v="正常"/>
    <n v="6"/>
    <n v="0"/>
    <n v="0.14000000000000001"/>
    <s v="正常"/>
    <n v="4490000"/>
    <s v="[2,0,4,5,0,0,0,8,0,0,4,0]"/>
    <d v="2025-01-26T00:00:00"/>
    <s v="日期正确"/>
    <x v="15"/>
    <s v="正常"/>
  </r>
  <r>
    <s v="Simplilearn Online Bootcamps | Online Certification Courses"/>
    <x v="79"/>
    <s v="simplilear"/>
    <s v="重复"/>
    <n v="1"/>
    <s v="正常"/>
    <n v="1"/>
    <n v="70"/>
    <n v="1.88"/>
    <n v="3"/>
    <n v="0.01"/>
    <s v="正常"/>
    <n v="5"/>
    <n v="0"/>
    <n v="0.16"/>
    <s v="正常"/>
    <n v="4610000"/>
    <s v="[4,8,4,14,4,2,2,2,54,2,35,29]"/>
    <d v="2025-01-02T00:00:00"/>
    <s v="日期正确"/>
    <x v="14"/>
    <s v="正常"/>
  </r>
  <r>
    <s v="Simplilearn® Official Site | Online Certification Courses"/>
    <x v="80"/>
    <s v="simply lern"/>
    <s v="重复"/>
    <n v="1"/>
    <s v="正常"/>
    <n v="1"/>
    <n v="70"/>
    <n v="0"/>
    <n v="3"/>
    <n v="0.01"/>
    <s v="正常"/>
    <n v="0"/>
    <n v="0"/>
    <n v="0"/>
    <s v="正常"/>
    <n v="4130000"/>
    <s v="[0,0,0,0,0,0,0,100,0,0,0,0]"/>
    <d v="2025-01-22T00:00:00"/>
    <s v="日期正确"/>
    <x v="33"/>
    <s v="正常"/>
  </r>
  <r>
    <s v="Master ITIL 4 Foundation - 100+ Premium Exam Questions"/>
    <x v="81"/>
    <s v="itil foundation mock exam"/>
    <s v="重复"/>
    <n v="1"/>
    <s v="正常"/>
    <n v="1"/>
    <n v="70"/>
    <n v="2.67"/>
    <n v="3"/>
    <n v="0.01"/>
    <s v="正常"/>
    <n v="8"/>
    <n v="0.01"/>
    <n v="0.28000000000000003"/>
    <s v="正常"/>
    <n v="313000"/>
    <s v="[81,63,63,63,63,63,63,63,63,45,45,63]"/>
    <d v="2024-12-31T00:00:00"/>
    <s v="日期正确"/>
    <x v="44"/>
    <s v="正常"/>
  </r>
  <r>
    <s v="AWS Certified Cloud Practioner | Today's offer- Flat $300 Off"/>
    <x v="82"/>
    <s v="best aws learning tutorial"/>
    <s v="重复"/>
    <n v="5"/>
    <s v="正常"/>
    <n v="5"/>
    <n v="720"/>
    <n v="0"/>
    <n v="3"/>
    <n v="0.01"/>
    <s v="正常"/>
    <n v="0"/>
    <n v="0"/>
    <n v="0"/>
    <s v="正常"/>
    <n v="45700000"/>
    <s v="[100,0,0]"/>
    <d v="2025-01-23T00:00:00"/>
    <s v="日期正确"/>
    <x v="33"/>
    <s v="正常"/>
  </r>
  <r>
    <s v="Simplilearn Online Bootcamps | Online Certification Courses"/>
    <x v="83"/>
    <s v="simplilearns"/>
    <s v="唯一"/>
    <n v="1"/>
    <s v="正常"/>
    <n v="1"/>
    <n v="50"/>
    <n v="2.31"/>
    <n v="2"/>
    <n v="0.01"/>
    <s v="正常"/>
    <n v="4"/>
    <n v="0"/>
    <n v="0.14000000000000001"/>
    <s v="正常"/>
    <n v="4410000"/>
    <s v="[0,0,100,0,0,0,0,0,0,0,0,0]"/>
    <d v="2025-01-17T00:00:00"/>
    <s v="日期正确"/>
    <x v="12"/>
    <s v="正常"/>
  </r>
  <r>
    <s v="PMP® Certification Course | Flat 40% Off - Enroll Now"/>
    <x v="84"/>
    <s v="pmp certification courses online"/>
    <s v="重复"/>
    <n v="3"/>
    <s v="正常"/>
    <n v="3"/>
    <n v="260"/>
    <n v="9.7799999999999994"/>
    <n v="2"/>
    <n v="0.01"/>
    <s v="正常"/>
    <n v="19"/>
    <n v="0.02"/>
    <n v="0.62"/>
    <s v="正常"/>
    <n v="8930000"/>
    <s v="[9,9,29,15,29,9,9,4,66,54,81,100]"/>
    <d v="2024-12-27T00:00:00"/>
    <s v="日期正确"/>
    <x v="6"/>
    <s v="正常"/>
  </r>
  <r>
    <s v="PMP® Certification | Flat 40% Off - Enroll Now"/>
    <x v="85"/>
    <s v="online pmp certification training"/>
    <s v="重复"/>
    <n v="1"/>
    <s v="正常"/>
    <n v="1"/>
    <n v="50"/>
    <n v="11.09"/>
    <n v="2"/>
    <n v="0.01"/>
    <s v="正常"/>
    <n v="22"/>
    <n v="0.03"/>
    <n v="0.48"/>
    <s v="正常"/>
    <n v="7540000"/>
    <s v="[21,21,28,7,28,100,78,28,35,0,35,0]"/>
    <d v="2024-12-27T00:00:00"/>
    <s v="日期正确"/>
    <x v="6"/>
    <s v="正常"/>
  </r>
  <r>
    <s v="CSM Scrum Master Course Online | Limited-time Offer: $270 Only"/>
    <x v="86"/>
    <s v="csm scrum master certification"/>
    <s v="重复"/>
    <n v="2"/>
    <s v="正常"/>
    <n v="2"/>
    <n v="210"/>
    <n v="3.23"/>
    <n v="2"/>
    <n v="0.01"/>
    <s v="正常"/>
    <n v="6"/>
    <n v="0"/>
    <n v="0.4"/>
    <s v="正常"/>
    <n v="4620000"/>
    <s v="[53,81,100,65,81,81,65,65,81,65,21,81]"/>
    <d v="2025-01-25T00:00:00"/>
    <s v="日期正确"/>
    <x v="8"/>
    <s v="正常"/>
  </r>
  <r>
    <s v="PMP® Training &amp; Exam | Confidently Ace The PMP Exam"/>
    <x v="87"/>
    <s v="pmp prep classes"/>
    <s v="重复"/>
    <n v="5"/>
    <s v="正常"/>
    <n v="5"/>
    <n v="590"/>
    <n v="10.08"/>
    <n v="2"/>
    <n v="0.01"/>
    <s v="正常"/>
    <n v="20"/>
    <n v="0.03"/>
    <n v="0.55000000000000004"/>
    <s v="正常"/>
    <n v="490000"/>
    <s v="[48,59,59,39,72,72,21,72,17,88,72,100]"/>
    <d v="2025-01-01T00:00:00"/>
    <s v="日期正确"/>
    <x v="32"/>
    <s v="正常"/>
  </r>
  <r>
    <s v="Simplilearn Online Bootcamps | Launch Your Career"/>
    <x v="88"/>
    <s v="simplilerarn"/>
    <s v="重复"/>
    <n v="1"/>
    <s v="正常"/>
    <n v="1"/>
    <n v="50"/>
    <n v="2.31"/>
    <n v="2"/>
    <n v="0.01"/>
    <s v="正常"/>
    <n v="4"/>
    <n v="0"/>
    <n v="0.14000000000000001"/>
    <s v="正常"/>
    <n v="4770000"/>
    <s v="[0,0,0,0,0,0,0,0,0,0,100,0]"/>
    <d v="2025-01-06T00:00:00"/>
    <s v="日期正确"/>
    <x v="45"/>
    <s v="正常"/>
  </r>
  <r>
    <s v="PMP® Exam &amp; Certification - Confidently Ace The PMP Exam"/>
    <x v="89"/>
    <s v="pmp test requirements"/>
    <s v="重复"/>
    <n v="3"/>
    <s v="正常"/>
    <n v="3"/>
    <n v="260"/>
    <n v="1.67"/>
    <n v="2"/>
    <n v="0.01"/>
    <s v="正常"/>
    <n v="3"/>
    <n v="0"/>
    <n v="0.31"/>
    <s v="正常"/>
    <n v="64800000"/>
    <s v="[44,29,100,36,36,29,29,19,44,19,54,23]"/>
    <d v="2025-01-01T00:00:00"/>
    <s v="日期正确"/>
    <x v="33"/>
    <s v="正常"/>
  </r>
  <r>
    <s v="ITIL Certification Cost - 100% Exam Pass Guarantee"/>
    <x v="90"/>
    <s v="itil 4 foundation exam cost"/>
    <s v="重复"/>
    <n v="3"/>
    <s v="正常"/>
    <n v="0"/>
    <n v="320"/>
    <n v="2.48"/>
    <n v="2"/>
    <n v="0.01"/>
    <s v="正常"/>
    <n v="4"/>
    <n v="0"/>
    <n v="0.47"/>
    <s v="正常"/>
    <n v="1050000"/>
    <s v="[66,82,66,82,82,82,82,66,66,82,100,100]"/>
    <d v="2025-01-26T00:00:00"/>
    <s v="日期正确"/>
    <x v="46"/>
    <s v="正常"/>
  </r>
  <r>
    <s v="Simplilearn® Courses"/>
    <x v="91"/>
    <s v="simple lern"/>
    <s v="重复"/>
    <n v="1"/>
    <s v="正常"/>
    <n v="1"/>
    <n v="50"/>
    <n v="2.31"/>
    <n v="2"/>
    <n v="0.01"/>
    <s v="正常"/>
    <n v="4"/>
    <n v="0"/>
    <n v="0.14000000000000001"/>
    <s v="正常"/>
    <n v="4340000"/>
    <s v="[0,0,0,0,0,0,0,0,0,0,0,100]"/>
    <d v="2025-01-21T00:00:00"/>
    <s v="日期正确"/>
    <x v="47"/>
    <s v="正常"/>
  </r>
  <r>
    <s v="CAPM® Exam Prep in 3 Weeks | Ace CAPM® Exam in 1st Attempt"/>
    <x v="92"/>
    <s v="capm course"/>
    <s v="重复"/>
    <n v="6"/>
    <s v="正常"/>
    <n v="0"/>
    <n v="590"/>
    <n v="4.5"/>
    <n v="2"/>
    <n v="0.01"/>
    <s v="正常"/>
    <n v="9"/>
    <n v="0.01"/>
    <n v="0.71"/>
    <s v="正常"/>
    <n v="8770000"/>
    <s v="[54,100,81,81,66,66,66,66,81,66,100,100]"/>
    <d v="2025-01-26T00:00:00"/>
    <s v="日期正确"/>
    <x v="17"/>
    <s v="正常"/>
  </r>
  <r>
    <s v="PMP® Certification Training | Flat 40% Off - Enroll Now"/>
    <x v="93"/>
    <s v="how much does it cost to do pmp-acp"/>
    <s v="重复"/>
    <n v="4"/>
    <s v="正常"/>
    <n v="4"/>
    <n v="390"/>
    <n v="0"/>
    <n v="2"/>
    <n v="0.01"/>
    <s v="正常"/>
    <n v="0"/>
    <n v="0"/>
    <n v="0"/>
    <s v="正常"/>
    <n v="1910000"/>
    <s v="[100,0,0,0,0,0,0]"/>
    <d v="2025-01-05T00:00:00"/>
    <s v="日期正确"/>
    <x v="48"/>
    <s v="正常"/>
  </r>
  <r>
    <s v="ITIL Certification Now - 4 Mock Tests | 30+ Quizzes"/>
    <x v="94"/>
    <s v="itil foundation test online"/>
    <s v="重复"/>
    <n v="1"/>
    <s v="正常"/>
    <n v="1"/>
    <n v="30"/>
    <n v="3.34"/>
    <n v="1"/>
    <n v="0"/>
    <s v="正常"/>
    <n v="3"/>
    <n v="0"/>
    <n v="0.6"/>
    <s v="正常"/>
    <n v="797000"/>
    <s v="[0,20,80,100,20,100,40,80,60,100,60,40]"/>
    <d v="2025-01-04T00:00:00"/>
    <s v="日期正确"/>
    <x v="49"/>
    <s v="正常"/>
  </r>
  <r>
    <s v="ITIL Certification Course | Clear ITIL Exam on 1st Attempt"/>
    <x v="95"/>
    <s v="itil certification course online"/>
    <s v="重复"/>
    <n v="1"/>
    <s v="正常"/>
    <n v="1"/>
    <n v="40"/>
    <n v="6.05"/>
    <n v="1"/>
    <n v="0"/>
    <s v="正常"/>
    <n v="6"/>
    <n v="0"/>
    <n v="0.24"/>
    <s v="正常"/>
    <n v="4950000"/>
    <s v="[0,42,3,26,11,11,19,11,15,11,15,15]"/>
    <d v="2025-01-22T00:00:00"/>
    <s v="日期正确"/>
    <x v="36"/>
    <s v="正常"/>
  </r>
  <r>
    <s v="PMP® Certification Training - Ace PMP Exam in 1st Attempt"/>
    <x v="96"/>
    <s v="pmp exam prep free"/>
    <s v="重复"/>
    <n v="1"/>
    <s v="正常"/>
    <n v="1"/>
    <n v="40"/>
    <n v="2.59"/>
    <n v="1"/>
    <n v="0"/>
    <s v="正常"/>
    <n v="2"/>
    <n v="0"/>
    <n v="0.63"/>
    <s v="正常"/>
    <n v="2620000"/>
    <s v="[17,29,11,11,29,23,17,23,29,17,23,17]"/>
    <d v="2025-01-24T00:00:00"/>
    <s v="日期正确"/>
    <x v="16"/>
    <s v="正常"/>
  </r>
  <r>
    <s v="Become CAPM® Ready in 3 Weeks | Ace CAPM® Exam in 1st..."/>
    <x v="97"/>
    <s v="certified associate in project management capm course"/>
    <s v="唯一"/>
    <n v="2"/>
    <s v="正常"/>
    <n v="2"/>
    <n v="110"/>
    <n v="6.11"/>
    <n v="1"/>
    <n v="0"/>
    <s v="正常"/>
    <n v="6"/>
    <n v="0"/>
    <n v="0.75"/>
    <s v="正常"/>
    <n v="328000"/>
    <s v="[41,100,64,64,52,64,64,52,64,52,52,41]"/>
    <d v="2025-01-21T00:00:00"/>
    <s v="日期正确"/>
    <x v="28"/>
    <s v="正常"/>
  </r>
  <r>
    <s v="PMP® Exam &amp; Certification | Ace PMP Exam in 1st Attempt"/>
    <x v="98"/>
    <s v="pmp certificaiton"/>
    <s v="重复"/>
    <n v="2"/>
    <s v="正常"/>
    <n v="2"/>
    <n v="140"/>
    <n v="3.38"/>
    <n v="1"/>
    <n v="0"/>
    <s v="正常"/>
    <n v="3"/>
    <n v="0"/>
    <n v="0.62"/>
    <s v="正常"/>
    <n v="200000000"/>
    <s v="[0,15,100,1,54,2,15,4,2,2,2,36]"/>
    <d v="2025-01-12T00:00:00"/>
    <s v="日期正确"/>
    <x v="1"/>
    <s v="正常"/>
  </r>
  <r>
    <s v="Simplilearn® Courses | Online Certification Courses"/>
    <x v="50"/>
    <s v="smplilearn"/>
    <s v="唯一"/>
    <n v="2"/>
    <s v="正常"/>
    <n v="2"/>
    <n v="140"/>
    <n v="2.31"/>
    <n v="1"/>
    <n v="0"/>
    <s v="正常"/>
    <n v="2"/>
    <n v="0"/>
    <n v="0.14000000000000001"/>
    <s v="正常"/>
    <n v="4210000"/>
    <s v="[0,0,0,0,0,0,0,100,0,0,81,0]"/>
    <d v="2025-01-22T00:00:00"/>
    <s v="日期正确"/>
    <x v="32"/>
    <s v="正常"/>
  </r>
  <r>
    <s v="Simplilearn® ITIL Programs | Online Certification Courses"/>
    <x v="99"/>
    <s v="simplilearn artificial intelligence engineer"/>
    <s v="唯一"/>
    <n v="1"/>
    <s v="正常"/>
    <n v="1"/>
    <n v="30"/>
    <n v="4.1900000000000004"/>
    <n v="1"/>
    <n v="0"/>
    <s v="正常"/>
    <n v="4"/>
    <n v="0"/>
    <n v="0.43"/>
    <s v="正常"/>
    <n v="108000"/>
    <s v="[11,23,82,11,23,11,11,11,11,11,11,11]"/>
    <d v="2025-01-23T00:00:00"/>
    <s v="日期正确"/>
    <x v="37"/>
    <s v="正常"/>
  </r>
  <r>
    <s v="ITIL Foundations Course | 100% Exam Pass Guarantee"/>
    <x v="100"/>
    <s v="itil foundation training"/>
    <s v="重复"/>
    <n v="4"/>
    <s v="正常"/>
    <n v="4"/>
    <n v="170"/>
    <n v="6.12"/>
    <n v="1"/>
    <n v="0"/>
    <s v="正常"/>
    <n v="6"/>
    <n v="0"/>
    <n v="0.42"/>
    <s v="正常"/>
    <n v="8940000"/>
    <s v="[35,43,29,35,35,35,29,29,35,29,22,35]"/>
    <d v="2025-01-14T00:00:00"/>
    <s v="日期正确"/>
    <x v="38"/>
    <s v="正常"/>
  </r>
  <r>
    <s v="PMP® Certification | Ace PMP Exam in 1st Attempt"/>
    <x v="101"/>
    <s v="certificado de gestion de proyectos"/>
    <s v="重复"/>
    <n v="1"/>
    <s v="正常"/>
    <n v="1"/>
    <n v="40"/>
    <n v="7.08"/>
    <n v="1"/>
    <n v="0"/>
    <s v="正常"/>
    <n v="7"/>
    <n v="0.01"/>
    <n v="0.53"/>
    <s v="正常"/>
    <n v="80600000"/>
    <s v="[22,22,44,22,22,22,22,77,100,22,22,100]"/>
    <d v="2025-01-13T00:00:00"/>
    <s v="日期正确"/>
    <x v="50"/>
    <s v="正常"/>
  </r>
  <r>
    <s v="TOGAF® Certification Price - TOGAF® Free Exam Retake"/>
    <x v="102"/>
    <s v="togaf certification training"/>
    <s v="重复"/>
    <n v="2"/>
    <s v="正常"/>
    <n v="2"/>
    <n v="90"/>
    <n v="4.43"/>
    <n v="1"/>
    <n v="0"/>
    <s v="正常"/>
    <n v="4"/>
    <n v="0"/>
    <n v="0.47"/>
    <s v="正常"/>
    <n v="1050000"/>
    <s v="[4,5,4,5,6,4,5,3,5,6,5,5]"/>
    <d v="2025-01-21T00:00:00"/>
    <s v="日期正确"/>
    <x v="37"/>
    <s v="正常"/>
  </r>
  <r>
    <s v="Simplilearn Online Bootcamps - Online Certification Courses"/>
    <x v="51"/>
    <s v="simplileaern"/>
    <s v="唯一"/>
    <n v="2"/>
    <s v="正常"/>
    <n v="2"/>
    <n v="140"/>
    <n v="2.31"/>
    <n v="1"/>
    <n v="0"/>
    <s v="正常"/>
    <n v="2"/>
    <n v="0"/>
    <n v="0.14000000000000001"/>
    <s v="正常"/>
    <n v="4480000"/>
    <s v="[0,0,0,0,0,0,0,0,100,0,0,0]"/>
    <d v="2025-01-18T00:00:00"/>
    <s v="日期正确"/>
    <x v="25"/>
    <s v="正常"/>
  </r>
  <r>
    <s v="ITIL Certification Course | 100% Exam Pass Guarantee"/>
    <x v="103"/>
    <s v="itil certification training"/>
    <s v="重复"/>
    <n v="2"/>
    <s v="正常"/>
    <n v="2"/>
    <n v="140"/>
    <n v="5.19"/>
    <n v="1"/>
    <n v="0"/>
    <s v="正常"/>
    <n v="5"/>
    <n v="0"/>
    <n v="0.49"/>
    <s v="正常"/>
    <n v="11800000"/>
    <s v="[22,29,29,29,29,22,35,18,35,29,43,29]"/>
    <d v="2025-01-22T00:00:00"/>
    <s v="日期正确"/>
    <x v="9"/>
    <s v="正常"/>
  </r>
  <r>
    <s v="Become a Certified ScrumMaster | Today's Offer: Up To 51%..."/>
    <x v="104"/>
    <s v="certified scrummaster csm"/>
    <s v="重复"/>
    <n v="3"/>
    <s v="正常"/>
    <n v="3"/>
    <n v="140"/>
    <n v="3.23"/>
    <n v="1"/>
    <n v="0"/>
    <s v="正常"/>
    <n v="3"/>
    <n v="0"/>
    <n v="0.4"/>
    <s v="正常"/>
    <n v="4120000"/>
    <s v="[65,100,28,21,34,65,28,21,81,65,65,0]"/>
    <d v="2025-01-18T00:00:00"/>
    <s v="日期正确"/>
    <x v="19"/>
    <s v="正常"/>
  </r>
  <r>
    <s v="TOGAF® Enterprise Architecture | Enroll in TOGAF® Course Now"/>
    <x v="105"/>
    <s v="udacity enterprise architecture"/>
    <s v="重复"/>
    <n v="4"/>
    <s v="正常"/>
    <n v="4"/>
    <n v="260"/>
    <n v="0"/>
    <n v="1"/>
    <n v="0"/>
    <s v="正常"/>
    <n v="0"/>
    <n v="0"/>
    <n v="0"/>
    <s v="正常"/>
    <n v="131000"/>
    <s v="[0,0,0,0,0,0,0,0,0,0,0,100]"/>
    <d v="2025-01-06T00:00:00"/>
    <s v="日期正确"/>
    <x v="51"/>
    <s v="正常"/>
  </r>
  <r>
    <s v="Simplilearn ITIL 4 Training | Online Certification Courses"/>
    <x v="106"/>
    <s v="simplilearn itil"/>
    <s v="重复"/>
    <n v="1"/>
    <s v="正常"/>
    <n v="1"/>
    <n v="40"/>
    <n v="8.9"/>
    <n v="1"/>
    <n v="0"/>
    <s v="正常"/>
    <n v="8"/>
    <n v="0.01"/>
    <n v="0.48"/>
    <s v="正常"/>
    <n v="92100"/>
    <s v="[11,11,11,11,11,11,11,64,11,100,11,11]"/>
    <d v="2025-01-05T00:00:00"/>
    <s v="日期正确"/>
    <x v="52"/>
    <s v="正常"/>
  </r>
  <r>
    <s v="Simplilearn® Official Site - Online Certification Courses"/>
    <x v="107"/>
    <s v="simplilearn.com"/>
    <s v="重复"/>
    <n v="1"/>
    <s v="正常"/>
    <n v="1"/>
    <n v="40"/>
    <n v="2.44"/>
    <n v="1"/>
    <n v="0"/>
    <s v="正常"/>
    <n v="2"/>
    <n v="0"/>
    <n v="0.18"/>
    <s v="正常"/>
    <n v="4690000"/>
    <s v="[10,10,10,10,6,4,6,10,4,6,8,10]"/>
    <d v="2025-01-15T00:00:00"/>
    <s v="日期正确"/>
    <x v="1"/>
    <s v="正常"/>
  </r>
  <r>
    <s v="Simplilearn® Training Programs | Get Certified. Get Ahead."/>
    <x v="108"/>
    <s v="simplilearn cloud architect"/>
    <s v="重复"/>
    <n v="1"/>
    <s v="正常"/>
    <n v="1"/>
    <n v="40"/>
    <n v="0"/>
    <n v="1"/>
    <n v="0"/>
    <s v="正常"/>
    <n v="0"/>
    <n v="0"/>
    <n v="0.05"/>
    <s v="正常"/>
    <n v="372000"/>
    <s v="[11,11,11,11,11,11,11,11,11,11,64,64]"/>
    <d v="2025-01-13T00:00:00"/>
    <s v="日期正确"/>
    <x v="53"/>
    <s v="正常"/>
  </r>
  <r>
    <s v="ITIL Certification Course | Clear ITIL Exam on 1st Attempt"/>
    <x v="109"/>
    <s v="itl certification"/>
    <s v="重复"/>
    <n v="1"/>
    <s v="正常"/>
    <n v="1"/>
    <n v="30"/>
    <n v="2.33"/>
    <n v="1"/>
    <n v="0"/>
    <s v="正常"/>
    <n v="2"/>
    <n v="0"/>
    <n v="0.49"/>
    <s v="正常"/>
    <n v="15500000"/>
    <s v="[0,1,11,5,5,1,0,1,11,8,8,5]"/>
    <d v="2025-01-10T00:00:00"/>
    <s v="日期正确"/>
    <x v="33"/>
    <s v="正常"/>
  </r>
  <r>
    <s v="Simplilearn Online Bootcamps | Trusted by 3 Million+ Learners"/>
    <x v="110"/>
    <s v="simplearn"/>
    <s v="重复"/>
    <n v="1"/>
    <s v="正常"/>
    <n v="1"/>
    <n v="30"/>
    <n v="2.31"/>
    <n v="1"/>
    <n v="0"/>
    <s v="正常"/>
    <n v="2"/>
    <n v="0"/>
    <n v="0.14000000000000001"/>
    <s v="正常"/>
    <n v="4270000"/>
    <s v="[2,5,0,2,2,2,2,53,7,2,5,5]"/>
    <d v="2025-01-21T00:00:00"/>
    <s v="日期正确"/>
    <x v="17"/>
    <s v="正常"/>
  </r>
  <r>
    <s v="Master ITIL 4 Foundation - Clear ITIL Exam on 1st Attempt"/>
    <x v="111"/>
    <s v="itil 4 foundation mock exam"/>
    <s v="重复"/>
    <n v="1"/>
    <s v="正常"/>
    <n v="1"/>
    <n v="30"/>
    <n v="2.78"/>
    <n v="1"/>
    <n v="0"/>
    <s v="正常"/>
    <n v="2"/>
    <n v="0"/>
    <n v="0.4"/>
    <s v="正常"/>
    <n v="402000"/>
    <s v="[100,9,9,9,9,9,9,9,9,9,9,9]"/>
    <d v="2025-01-09T00:00:00"/>
    <s v="日期正确"/>
    <x v="54"/>
    <s v="正常"/>
  </r>
  <r>
    <s v="PMP® Certification Course | Ace PMP Exam in 1st Attempt"/>
    <x v="112"/>
    <s v="pmp courses online free"/>
    <s v="重复"/>
    <n v="1"/>
    <s v="正常"/>
    <n v="1"/>
    <n v="40"/>
    <n v="4.6100000000000003"/>
    <n v="1"/>
    <n v="0"/>
    <s v="正常"/>
    <n v="4"/>
    <n v="0"/>
    <n v="0.46"/>
    <s v="正常"/>
    <n v="53900000"/>
    <s v="[14,42,0,0,100,57,100,100,100,42,28,42]"/>
    <d v="2025-01-18T00:00:00"/>
    <s v="日期正确"/>
    <x v="55"/>
    <s v="正常"/>
  </r>
  <r>
    <s v="ITIL Foundations Course | 100% Exam Pass Guarantee"/>
    <x v="60"/>
    <s v="itil 4 foundation certification"/>
    <s v="唯一"/>
    <n v="6"/>
    <s v="正常"/>
    <n v="6"/>
    <n v="390"/>
    <n v="3.33"/>
    <n v="1"/>
    <n v="0"/>
    <s v="正常"/>
    <n v="3"/>
    <n v="0"/>
    <n v="0.52"/>
    <s v="正常"/>
    <n v="9890000"/>
    <s v="[66,81,81,100,81,100,81,81,100,81,100,81]"/>
    <d v="2025-01-09T00:00:00"/>
    <s v="日期正确"/>
    <x v="17"/>
    <s v="正常"/>
  </r>
  <r>
    <s v="PMI Certified PMP® Training | Flat 40% Off - Enroll Now"/>
    <x v="113"/>
    <s v="pmi project management course"/>
    <s v="重复"/>
    <n v="3"/>
    <s v="正常"/>
    <n v="3"/>
    <n v="210"/>
    <n v="4.57"/>
    <n v="1"/>
    <n v="0"/>
    <s v="正常"/>
    <n v="4"/>
    <n v="0"/>
    <n v="0.48"/>
    <s v="正常"/>
    <n v="25400000"/>
    <s v="[28,28,18,28,35,100,44,35,35,35,35,44]"/>
    <d v="2024-12-28T00:00:00"/>
    <s v="日期正确"/>
    <x v="22"/>
    <s v="正常"/>
  </r>
  <r>
    <s v="Simplilearn® Courses | Online Certification Courses"/>
    <x v="114"/>
    <s v="simplilearn data science"/>
    <s v="重复"/>
    <n v="2"/>
    <s v="正常"/>
    <n v="2"/>
    <n v="90"/>
    <n v="7.24"/>
    <n v="1"/>
    <n v="0"/>
    <s v="正常"/>
    <n v="7"/>
    <n v="0.01"/>
    <n v="0.43"/>
    <s v="正常"/>
    <n v="1630000"/>
    <s v="[5,7,5,5,5,5,5,35,28,100,12,12]"/>
    <d v="2025-01-05T00:00:00"/>
    <s v="日期正确"/>
    <x v="35"/>
    <s v="正常"/>
  </r>
  <r>
    <s v="Become Certified Scrum Master | Today's Offer: Up To 51% Off"/>
    <x v="115"/>
    <s v="certified scrum master csm certification"/>
    <s v="重复"/>
    <n v="3"/>
    <s v="正常"/>
    <n v="3"/>
    <n v="170"/>
    <n v="3.37"/>
    <n v="1"/>
    <n v="0"/>
    <s v="正常"/>
    <n v="3"/>
    <n v="0"/>
    <n v="0.38"/>
    <s v="正常"/>
    <n v="1910000"/>
    <s v="[34,53,80,80,80,65,65,65,65,100,53,65]"/>
    <d v="2024-12-28T00:00:00"/>
    <s v="日期正确"/>
    <x v="35"/>
    <s v="正常"/>
  </r>
  <r>
    <s v="Simplilearn ITIL V4 | Online Certification Courses"/>
    <x v="116"/>
    <s v="simplilearn cissp"/>
    <s v="重复"/>
    <n v="1"/>
    <s v="正常"/>
    <n v="1"/>
    <n v="30"/>
    <n v="5.91"/>
    <n v="1"/>
    <n v="0"/>
    <s v="正常"/>
    <n v="5"/>
    <n v="0"/>
    <n v="0.63"/>
    <s v="正常"/>
    <n v="46"/>
    <s v="[18,18,18,18,18,18,18,100,100,18,18,18]"/>
    <d v="2025-01-05T00:00:00"/>
    <s v="日期正确"/>
    <x v="24"/>
    <s v="正常"/>
  </r>
  <r>
    <s v="CSM Scrum Master Course Online | Limited-time Offer: $270 Only"/>
    <x v="117"/>
    <s v="csm class"/>
    <s v="重复"/>
    <n v="3"/>
    <s v="正常"/>
    <n v="3"/>
    <n v="140"/>
    <n v="3.62"/>
    <n v="1"/>
    <n v="0"/>
    <s v="正常"/>
    <n v="3"/>
    <n v="0"/>
    <n v="0.09"/>
    <s v="正常"/>
    <n v="69900000"/>
    <s v="[4,5,0,0,1,5,11,7,4,100,17,2]"/>
    <d v="2025-01-12T00:00:00"/>
    <s v="日期正确"/>
    <x v="34"/>
    <s v="正常"/>
  </r>
  <r>
    <s v="Simplilearn Online Bootcamps | Online Certification Courses"/>
    <x v="118"/>
    <s v="simplilearn full stack developer"/>
    <s v="重复"/>
    <n v="2"/>
    <s v="正常"/>
    <n v="2"/>
    <n v="110"/>
    <n v="7.51"/>
    <n v="1"/>
    <n v="0"/>
    <s v="正常"/>
    <n v="7"/>
    <n v="0.01"/>
    <n v="0.7"/>
    <s v="正常"/>
    <n v="333000"/>
    <s v="[2,2,0,0,2,2,2,2,11,100,4,2]"/>
    <d v="2025-01-12T00:00:00"/>
    <s v="日期正确"/>
    <x v="5"/>
    <s v="正常"/>
  </r>
  <r>
    <s v="PMI Certified PMP® Training | Ace PMP Exam in 1st Attempt"/>
    <x v="119"/>
    <s v="pmp training pmi"/>
    <s v="重复"/>
    <n v="3"/>
    <s v="正常"/>
    <n v="3"/>
    <n v="210"/>
    <n v="3.98"/>
    <n v="1"/>
    <n v="0"/>
    <s v="正常"/>
    <n v="3"/>
    <n v="0"/>
    <n v="0.56999999999999995"/>
    <s v="正常"/>
    <n v="5580000"/>
    <s v="[12,100,36,36,23,15,23,19,23,15,23,15]"/>
    <d v="2025-01-09T00:00:00"/>
    <s v="日期正确"/>
    <x v="2"/>
    <s v="正常"/>
  </r>
  <r>
    <s v="Simplilearn ITIL 4 Training - Level Up Your Skills"/>
    <x v="67"/>
    <s v="skillup by simplilearn"/>
    <s v="唯一"/>
    <n v="2"/>
    <s v="正常"/>
    <n v="2"/>
    <n v="90"/>
    <n v="4.47"/>
    <n v="1"/>
    <n v="0"/>
    <s v="正常"/>
    <n v="4"/>
    <n v="0"/>
    <n v="0.31"/>
    <s v="正常"/>
    <n v="55"/>
    <s v="[15,8,8,11,8,8,6,23,66,6,8,8]"/>
    <d v="2024-12-31T00:00:00"/>
    <s v="日期正确"/>
    <x v="32"/>
    <s v="正常"/>
  </r>
  <r>
    <s v="Cloud Certification Course | Masters Certification in Cloud"/>
    <x v="120"/>
    <s v="caltech post graduate program in cloud computing"/>
    <s v="重复"/>
    <n v="3"/>
    <s v="正常"/>
    <n v="3"/>
    <n v="40"/>
    <n v="15.02"/>
    <n v="0"/>
    <n v="0"/>
    <s v="正常"/>
    <n v="0"/>
    <n v="0"/>
    <n v="0.47"/>
    <s v="正常"/>
    <n v="79700"/>
    <s v="[18,36,18,18,18,18,36,18,18,18,63,100]"/>
    <d v="2024-12-31T00:00:00"/>
    <s v="日期正确"/>
    <x v="40"/>
    <s v="正常"/>
  </r>
  <r>
    <s v="PMP® Certification Course | Flat 40% Off - Enroll Now"/>
    <x v="121"/>
    <s v="it project manager certification"/>
    <s v="重复"/>
    <n v="5"/>
    <s v="正常"/>
    <n v="5"/>
    <n v="140"/>
    <n v="7.25"/>
    <n v="0"/>
    <n v="0"/>
    <s v="正常"/>
    <n v="0"/>
    <n v="0"/>
    <n v="0.51"/>
    <s v="正常"/>
    <n v="262000000"/>
    <s v="[34,53,43,53,34,43,100,34,43,28,28,34]"/>
    <d v="2024-12-29T00:00:00"/>
    <s v="日期正确"/>
    <x v="11"/>
    <s v="正常"/>
  </r>
  <r>
    <s v="Simplilearn Online Bootcamps | Online Certification Courses"/>
    <x v="83"/>
    <s v="simplilearns"/>
    <s v="唯一"/>
    <n v="2"/>
    <s v="正常"/>
    <n v="2"/>
    <n v="50"/>
    <n v="2.31"/>
    <n v="0"/>
    <n v="0"/>
    <s v="正常"/>
    <n v="0"/>
    <n v="0"/>
    <n v="0.14000000000000001"/>
    <s v="正常"/>
    <n v="4410000"/>
    <s v="[0,0,100,0,0,0,0,0,0,0,0,0]"/>
    <d v="2025-01-17T00:00:00"/>
    <s v="日期正确"/>
    <x v="12"/>
    <s v="正常"/>
  </r>
  <r>
    <s v="PMP® Exam &amp; Certification | Confidently Ace The PMP Exam"/>
    <x v="122"/>
    <s v="pmi exam prep"/>
    <s v="重复"/>
    <n v="4"/>
    <s v="正常"/>
    <n v="4"/>
    <n v="140"/>
    <n v="5.36"/>
    <n v="0"/>
    <n v="0"/>
    <s v="正常"/>
    <n v="0"/>
    <n v="0"/>
    <n v="0.66"/>
    <s v="正常"/>
    <n v="5700000"/>
    <s v="[3,2,1,1,0,100,0,0,3,13,3,0]"/>
    <d v="2024-12-31T00:00:00"/>
    <s v="日期正确"/>
    <x v="20"/>
    <s v="正常"/>
  </r>
  <r>
    <s v="PMP® Certification | Confidently Ace The PMP Exam"/>
    <x v="123"/>
    <s v="best course for pmp"/>
    <s v="重复"/>
    <n v="4"/>
    <s v="正常"/>
    <n v="4"/>
    <n v="30"/>
    <n v="10.26"/>
    <n v="0"/>
    <n v="0"/>
    <s v="正常"/>
    <n v="0"/>
    <n v="0"/>
    <n v="0.24"/>
    <s v="正常"/>
    <n v="15600000"/>
    <s v="[0,55,22,100,22,22,44,22,22,22,22,22]"/>
    <d v="2024-12-31T00:00:00"/>
    <s v="日期正确"/>
    <x v="45"/>
    <s v="正常"/>
  </r>
  <r>
    <s v="ITIL Certification Course | 100% Exam Pass Guarantee"/>
    <x v="124"/>
    <s v="itil certification online"/>
    <s v="重复"/>
    <n v="3"/>
    <s v="正常"/>
    <n v="3"/>
    <n v="110"/>
    <n v="3.55"/>
    <n v="0"/>
    <n v="0"/>
    <s v="正常"/>
    <n v="0"/>
    <n v="0"/>
    <n v="0.3"/>
    <s v="正常"/>
    <n v="3810000"/>
    <s v="[43,43,35,43,17,17,28,35,28,23,23,17]"/>
    <d v="2025-01-03T00:00:00"/>
    <s v="日期正确"/>
    <x v="56"/>
    <s v="正常"/>
  </r>
  <r>
    <s v="ITIL Foundations Course | 100% Exam Pass Guarantee"/>
    <x v="125"/>
    <s v="itil online certification"/>
    <s v="重复"/>
    <n v="2"/>
    <s v="正常"/>
    <n v="2"/>
    <n v="30"/>
    <n v="4"/>
    <n v="0"/>
    <n v="0"/>
    <s v="正常"/>
    <n v="0"/>
    <n v="0"/>
    <n v="0.28999999999999998"/>
    <s v="正常"/>
    <n v="11600000"/>
    <s v="[28,42,42,14,0,42,14,42,57,28,100,100]"/>
    <d v="2024-12-31T00:00:00"/>
    <s v="日期正确"/>
    <x v="57"/>
    <s v="正常"/>
  </r>
  <r>
    <s v="No Cost &amp; No Hidden Fees - AWS Certification Course"/>
    <x v="126"/>
    <s v="best platform to learn aws"/>
    <s v="重复"/>
    <n v="4"/>
    <s v="正常"/>
    <n v="0"/>
    <n v="110"/>
    <n v="0"/>
    <n v="0"/>
    <n v="0"/>
    <s v="正常"/>
    <n v="0"/>
    <n v="0"/>
    <n v="0.26"/>
    <s v="正常"/>
    <n v="149000000"/>
    <s v="[100,1,1,1,1,1,1,1,1,1,1,1]"/>
    <d v="2025-01-26T00:00:00"/>
    <s v="日期正确"/>
    <x v="25"/>
    <s v="正常"/>
  </r>
  <r>
    <s v="PMP® Certification Course | Confidently Ace The PMP Exam"/>
    <x v="127"/>
    <s v="pmp certification what is it"/>
    <s v="重复"/>
    <n v="4"/>
    <s v="正常"/>
    <n v="4"/>
    <n v="70"/>
    <n v="2.08"/>
    <n v="0"/>
    <n v="0"/>
    <s v="正常"/>
    <n v="0"/>
    <n v="0"/>
    <n v="0.28000000000000003"/>
    <s v="正常"/>
    <n v="143000000"/>
    <s v="[11,29,29,29,41,41,41,52,52,41,52,64]"/>
    <d v="2025-01-01T00:00:00"/>
    <s v="日期正确"/>
    <x v="32"/>
    <s v="正常"/>
  </r>
  <r>
    <s v="CAPM® Certification Training | Ace CAPM® Exam in 1st..."/>
    <x v="97"/>
    <s v="certified associate in project management capm course"/>
    <s v="唯一"/>
    <n v="5"/>
    <s v="正常"/>
    <n v="5"/>
    <n v="110"/>
    <n v="6.11"/>
    <n v="0"/>
    <n v="0"/>
    <s v="正常"/>
    <n v="0"/>
    <n v="0"/>
    <n v="0.75"/>
    <s v="正常"/>
    <n v="328000"/>
    <s v="[41,100,64,64,52,64,64,52,64,52,52,41]"/>
    <d v="2025-01-21T00:00:00"/>
    <s v="日期正确"/>
    <x v="28"/>
    <s v="正常"/>
  </r>
  <r>
    <s v="PMP® Course | Confidently Ace The PMP Exam"/>
    <x v="128"/>
    <s v="best pmp prep course"/>
    <s v="重复"/>
    <n v="6"/>
    <s v="正常"/>
    <n v="6"/>
    <n v="170"/>
    <n v="8.4"/>
    <n v="0"/>
    <n v="0"/>
    <s v="正常"/>
    <n v="0"/>
    <n v="0"/>
    <n v="0.52"/>
    <s v="正常"/>
    <n v="1260000"/>
    <s v="[28,28,53,43,43,35,35,28,82,43,100,28]"/>
    <d v="2024-12-31T00:00:00"/>
    <s v="日期正确"/>
    <x v="36"/>
    <s v="正常"/>
  </r>
  <r>
    <s v="ITIL Certification Course | 100% Exam Pass Guarantee"/>
    <x v="129"/>
    <s v="itil classes online"/>
    <s v="重复"/>
    <n v="3"/>
    <s v="正常"/>
    <n v="3"/>
    <n v="70"/>
    <n v="6.05"/>
    <n v="0"/>
    <n v="0"/>
    <s v="正常"/>
    <n v="0"/>
    <n v="0"/>
    <n v="0.24"/>
    <s v="正常"/>
    <n v="716000"/>
    <s v="[0,100,63,100,81,63,63,100,81,45,45,45]"/>
    <d v="2025-01-21T00:00:00"/>
    <s v="日期正确"/>
    <x v="37"/>
    <s v="正常"/>
  </r>
  <r>
    <s v="Simplilearn® Courses | Online Certification Courses"/>
    <x v="99"/>
    <s v="simplilearn artificial intelligence engineer"/>
    <s v="唯一"/>
    <n v="4"/>
    <s v="正常"/>
    <n v="4"/>
    <n v="30"/>
    <n v="9.33"/>
    <n v="0"/>
    <n v="0"/>
    <s v="正常"/>
    <n v="0"/>
    <n v="0"/>
    <n v="0.95"/>
    <s v="正常"/>
    <n v="149000"/>
    <s v="[11,11,23,82,11,23,11,11,11,11,11,11]"/>
    <d v="2024-12-27T00:00:00"/>
    <s v="日期正确"/>
    <x v="46"/>
    <s v="正常"/>
  </r>
  <r>
    <s v="Simplilearn TOGAF - Online Certification Courses"/>
    <x v="99"/>
    <s v="simplilearn artificial intelligence engineer"/>
    <s v="唯一"/>
    <n v="6"/>
    <s v="正常"/>
    <n v="6"/>
    <n v="30"/>
    <n v="4.1900000000000004"/>
    <n v="0"/>
    <n v="0"/>
    <s v="正常"/>
    <n v="0"/>
    <n v="0"/>
    <n v="0.43"/>
    <s v="正常"/>
    <n v="108000"/>
    <s v="[11,23,82,11,23,11,11,11,11,11,11,11]"/>
    <d v="2025-01-23T00:00:00"/>
    <s v="日期正确"/>
    <x v="37"/>
    <s v="正常"/>
  </r>
  <r>
    <s v="ITIL Foundations Course | 100% Exam Pass Guarantee"/>
    <x v="130"/>
    <s v="learning tree itil 4 foundation"/>
    <s v="重复"/>
    <n v="3"/>
    <s v="正常"/>
    <n v="3"/>
    <n v="40"/>
    <n v="2.5299999999999998"/>
    <n v="0"/>
    <n v="0"/>
    <s v="正常"/>
    <n v="0"/>
    <n v="0"/>
    <n v="0.26"/>
    <s v="正常"/>
    <n v="235000"/>
    <s v="[18,18,18,18,18,18,18,18,18,18,100,100]"/>
    <d v="2024-12-31T00:00:00"/>
    <s v="日期正确"/>
    <x v="58"/>
    <s v="正常"/>
  </r>
  <r>
    <s v="PMP® Training Course | Confidently Ace The PMP Exam"/>
    <x v="131"/>
    <s v="purdue project management essentials"/>
    <s v="唯一"/>
    <n v="2"/>
    <s v="正常"/>
    <n v="2"/>
    <n v="30"/>
    <n v="5.1100000000000003"/>
    <n v="0"/>
    <n v="0"/>
    <s v="正常"/>
    <n v="0"/>
    <n v="0"/>
    <n v="0.15"/>
    <s v="正常"/>
    <n v="186000"/>
    <s v="[18,18,81,18,18,18,18,18,18,18,18,18]"/>
    <d v="2025-01-01T00:00:00"/>
    <s v="日期正确"/>
    <x v="53"/>
    <s v="正常"/>
  </r>
  <r>
    <s v="Project Management Training"/>
    <x v="131"/>
    <s v="purdue project management essentials"/>
    <s v="唯一"/>
    <n v="5"/>
    <s v="正常"/>
    <n v="5"/>
    <n v="30"/>
    <n v="5.1100000000000003"/>
    <n v="0"/>
    <n v="0"/>
    <s v="正常"/>
    <n v="0"/>
    <n v="0"/>
    <n v="0.15"/>
    <s v="正常"/>
    <n v="186000"/>
    <s v="[18,18,81,18,18,18,18,18,18,18,18,18]"/>
    <d v="2025-01-01T00:00:00"/>
    <s v="日期正确"/>
    <x v="53"/>
    <s v="正常"/>
  </r>
  <r>
    <s v="TOGAF® Enterprise Architecture | Enroll in TOGAF® Course Now"/>
    <x v="132"/>
    <s v="it architect certification program"/>
    <s v="重复"/>
    <n v="4"/>
    <s v="正常"/>
    <n v="4"/>
    <n v="110"/>
    <n v="3.68"/>
    <n v="0"/>
    <n v="0"/>
    <s v="正常"/>
    <n v="0"/>
    <n v="0"/>
    <n v="0.22"/>
    <s v="正常"/>
    <n v="41700000"/>
    <s v="[41,82,52,64,82,64,82,82,100,64,64,52]"/>
    <d v="2025-01-22T00:00:00"/>
    <s v="日期正确"/>
    <x v="59"/>
    <s v="正常"/>
  </r>
  <r>
    <s v="TOGAF® 10 Certification Course | Enroll in TOGAF® Course Now"/>
    <x v="133"/>
    <s v="togaf course online"/>
    <s v="重复"/>
    <n v="2"/>
    <s v="正常"/>
    <n v="2"/>
    <n v="40"/>
    <n v="4.9400000000000004"/>
    <n v="0"/>
    <n v="0"/>
    <s v="正常"/>
    <n v="0"/>
    <n v="0"/>
    <n v="0.4"/>
    <s v="正常"/>
    <n v="313000"/>
    <s v="[0,41,11,11,11,11,52,41,17,0,0,100]"/>
    <d v="2025-01-03T00:00:00"/>
    <s v="日期正确"/>
    <x v="60"/>
    <s v="正常"/>
  </r>
  <r>
    <s v="AWS Solution Architect Course | Get AWS Associate Certificate"/>
    <x v="134"/>
    <s v="aws solutions architect-associate"/>
    <s v="重复"/>
    <n v="4"/>
    <s v="正常"/>
    <n v="4"/>
    <n v="70"/>
    <n v="3.86"/>
    <n v="0"/>
    <n v="0"/>
    <s v="正常"/>
    <n v="0"/>
    <n v="0"/>
    <n v="0.25"/>
    <s v="正常"/>
    <n v="11000000"/>
    <s v="[0,0,0,0,0,100,0,0,0,0,0,0]"/>
    <d v="2025-01-05T00:00:00"/>
    <s v="日期正确"/>
    <x v="61"/>
    <s v="正常"/>
  </r>
  <r>
    <s v="CSM Scrum Master Course Online - Today's Offer: Up To 51% Off"/>
    <x v="135"/>
    <s v="get certified scrum master"/>
    <s v="重复"/>
    <n v="3"/>
    <s v="正常"/>
    <n v="3"/>
    <n v="40"/>
    <n v="4.1500000000000004"/>
    <n v="0"/>
    <n v="0"/>
    <s v="正常"/>
    <n v="0"/>
    <n v="0"/>
    <n v="0.79"/>
    <s v="正常"/>
    <n v="15000000"/>
    <s v="[71,100,71,71,71,71,57,71,28,28,28,28]"/>
    <d v="2025-01-24T00:00:00"/>
    <s v="日期正确"/>
    <x v="33"/>
    <s v="正常"/>
  </r>
  <r>
    <s v="Online AWS CPE Course | Special Offer Get Flat 43% Off"/>
    <x v="136"/>
    <s v="devops certification course"/>
    <s v="重复"/>
    <n v="4"/>
    <s v="正常"/>
    <n v="4"/>
    <n v="50"/>
    <n v="7.78"/>
    <n v="0"/>
    <n v="0"/>
    <s v="正常"/>
    <n v="0"/>
    <n v="0"/>
    <n v="0.46"/>
    <s v="正常"/>
    <n v="51200000"/>
    <s v="[11,17,17,29,23,41,23,41,52,17,64,17]"/>
    <d v="2024-12-31T00:00:00"/>
    <s v="日期正确"/>
    <x v="19"/>
    <s v="正常"/>
  </r>
  <r>
    <s v="CSM Scrum Master Course Online | Today's Offer: Up To 51% Off"/>
    <x v="137"/>
    <s v="scrum master certification course"/>
    <s v="重复"/>
    <n v="4"/>
    <s v="正常"/>
    <n v="4"/>
    <n v="140"/>
    <n v="5.46"/>
    <n v="0"/>
    <n v="0"/>
    <s v="正常"/>
    <n v="0"/>
    <n v="0"/>
    <n v="0.43"/>
    <s v="正常"/>
    <n v="13800000"/>
    <s v="[6,6,8,11,44,35,54,15,100,6,6,3]"/>
    <d v="2025-01-24T00:00:00"/>
    <s v="日期正确"/>
    <x v="22"/>
    <s v="正常"/>
  </r>
  <r>
    <s v="PMP® Exam &amp; Certification | Flat 40% Off - Enroll Now"/>
    <x v="138"/>
    <s v="pmp training and certification cost"/>
    <s v="重复"/>
    <n v="4"/>
    <s v="正常"/>
    <n v="4"/>
    <n v="50"/>
    <n v="2.59"/>
    <n v="0"/>
    <n v="0"/>
    <s v="正常"/>
    <n v="0"/>
    <n v="0"/>
    <n v="0.33"/>
    <s v="正常"/>
    <n v="6630000"/>
    <s v="[0,2,6,4,0,0,0,2,8,0,100,2]"/>
    <d v="2025-01-06T00:00:00"/>
    <s v="日期正确"/>
    <x v="24"/>
    <s v="正常"/>
  </r>
  <r>
    <s v="Leading SAFe® 6 Certification | Special Offer: Get $250 Off"/>
    <x v="139"/>
    <s v="safe 6.0 certification"/>
    <s v="重复"/>
    <n v="4"/>
    <s v="正常"/>
    <n v="4"/>
    <n v="70"/>
    <n v="4.43"/>
    <n v="0"/>
    <n v="0"/>
    <s v="正常"/>
    <n v="0"/>
    <n v="0"/>
    <n v="0.56999999999999995"/>
    <s v="正常"/>
    <n v="332000000"/>
    <s v="[65,53,34,19,26,7,26,34,11,15,3,53]"/>
    <d v="2025-01-22T00:00:00"/>
    <s v="日期正确"/>
    <x v="25"/>
    <s v="正常"/>
  </r>
  <r>
    <s v="PMP® Exam &amp; Certification"/>
    <x v="140"/>
    <s v="pmp registered"/>
    <s v="唯一"/>
    <n v="2"/>
    <s v="正常"/>
    <n v="2"/>
    <n v="40"/>
    <n v="5.31"/>
    <n v="0"/>
    <n v="0"/>
    <s v="正常"/>
    <n v="0"/>
    <n v="0"/>
    <n v="0.26"/>
    <s v="正常"/>
    <n v="51600000"/>
    <s v="[45,18,63,100,63,18,18,18,18,18,18,18]"/>
    <d v="2025-01-21T00:00:00"/>
    <s v="日期正确"/>
    <x v="20"/>
    <s v="正常"/>
  </r>
  <r>
    <s v="PMP® Exam &amp; Certification | Flat 40% Off - Enroll Now"/>
    <x v="140"/>
    <s v="pmp registered"/>
    <s v="唯一"/>
    <n v="5"/>
    <s v="正常"/>
    <n v="5"/>
    <n v="40"/>
    <n v="5.31"/>
    <n v="0"/>
    <n v="0"/>
    <s v="正常"/>
    <n v="0"/>
    <n v="0"/>
    <n v="0.26"/>
    <s v="正常"/>
    <n v="51600000"/>
    <s v="[45,18,63,100,63,18,18,18,18,18,18,18]"/>
    <d v="2025-01-21T00:00:00"/>
    <s v="日期正确"/>
    <x v="20"/>
    <s v="正常"/>
  </r>
  <r>
    <s v="PMP® Exam &amp; Certification | Ace PMP Exam in 1st Attempt"/>
    <x v="141"/>
    <s v="how to register for pmp exam"/>
    <s v="重复"/>
    <n v="2"/>
    <s v="正常"/>
    <n v="2"/>
    <n v="70"/>
    <n v="3.18"/>
    <n v="0"/>
    <n v="0"/>
    <s v="正常"/>
    <n v="0"/>
    <n v="0"/>
    <n v="0.45"/>
    <s v="正常"/>
    <n v="19900000"/>
    <s v="[55,77,100,77,100,77,77,77,100,100,100,100]"/>
    <d v="2025-01-15T00:00:00"/>
    <s v="日期正确"/>
    <x v="50"/>
    <s v="正常"/>
  </r>
  <r>
    <s v="CSM Scrum Master Course Online - Today's Offer: Up To 51% Off"/>
    <x v="142"/>
    <s v="srum master certification"/>
    <s v="重复"/>
    <n v="4"/>
    <s v="正常"/>
    <n v="4"/>
    <n v="40"/>
    <n v="3.4"/>
    <n v="0"/>
    <n v="0"/>
    <s v="正常"/>
    <n v="0"/>
    <n v="0"/>
    <n v="0.56000000000000005"/>
    <s v="正常"/>
    <n v="32400000"/>
    <s v="[0,0,0,0,0,0,0,100,0,0,0,0]"/>
    <d v="2024-12-31T00:00:00"/>
    <s v="日期正确"/>
    <x v="42"/>
    <s v="正常"/>
  </r>
  <r>
    <s v="SAFe® Agile Training &amp; Exam | Special Offer: Get $250 Off"/>
    <x v="143"/>
    <s v="scrum safe certification"/>
    <s v="重复"/>
    <n v="3"/>
    <s v="正常"/>
    <n v="3"/>
    <n v="30"/>
    <n v="3.86"/>
    <n v="0"/>
    <n v="0"/>
    <s v="正常"/>
    <n v="0"/>
    <n v="0"/>
    <n v="0.51"/>
    <s v="正常"/>
    <n v="7270000"/>
    <s v="[52,5,11,11,23,29,11,17,11,23,11,29]"/>
    <d v="2025-01-26T00:00:00"/>
    <s v="日期正确"/>
    <x v="28"/>
    <s v="正常"/>
  </r>
  <r>
    <s v="PMP® Course | Confidently Ace The PMP Exam"/>
    <x v="144"/>
    <s v="pmp free course"/>
    <s v="重复"/>
    <n v="3"/>
    <s v="正常"/>
    <n v="3"/>
    <n v="110"/>
    <n v="4.18"/>
    <n v="0"/>
    <n v="0"/>
    <s v="正常"/>
    <n v="0"/>
    <n v="0"/>
    <n v="0.56999999999999995"/>
    <s v="正常"/>
    <n v="48300000"/>
    <s v="[64,52,52,52,82,100,64,52,100,82,82,82]"/>
    <d v="2025-01-01T00:00:00"/>
    <s v="日期正确"/>
    <x v="57"/>
    <s v="正常"/>
  </r>
  <r>
    <s v="PMP® Certification Course"/>
    <x v="59"/>
    <s v="how to prepare for pmp certification"/>
    <s v="唯一"/>
    <n v="5"/>
    <s v="正常"/>
    <n v="5"/>
    <n v="110"/>
    <n v="3.07"/>
    <n v="0"/>
    <n v="0"/>
    <s v="正常"/>
    <n v="0"/>
    <n v="0"/>
    <n v="0.4"/>
    <s v="正常"/>
    <n v="10200000"/>
    <s v="[52,100,64,52,82,64,64,82,64,64,64,82]"/>
    <d v="2025-01-13T00:00:00"/>
    <s v="日期正确"/>
    <x v="37"/>
    <s v="正常"/>
  </r>
  <r>
    <s v="PMP® Exam &amp; Certification | Flat 40% Off - Enroll Now"/>
    <x v="145"/>
    <s v="what is the cost of pmp exam"/>
    <s v="重复"/>
    <n v="4"/>
    <s v="正常"/>
    <n v="4"/>
    <n v="40"/>
    <n v="2.1800000000000002"/>
    <n v="0"/>
    <n v="0"/>
    <s v="正常"/>
    <n v="0"/>
    <n v="0"/>
    <n v="0.4"/>
    <s v="正常"/>
    <n v="4420000"/>
    <s v="[11,23,11,100,11,11,11,11,11,11,11,11]"/>
    <d v="2025-01-24T00:00:00"/>
    <s v="日期正确"/>
    <x v="53"/>
    <s v="正常"/>
  </r>
  <r>
    <s v="Master ITIL 4 Foundation | 100% Exam Pass Guarantee"/>
    <x v="146"/>
    <s v="itil 4 foundation course"/>
    <s v="重复"/>
    <n v="3"/>
    <s v="正常"/>
    <n v="3"/>
    <n v="70"/>
    <n v="4.7"/>
    <n v="0"/>
    <n v="0"/>
    <s v="正常"/>
    <n v="0"/>
    <n v="0"/>
    <n v="0.35"/>
    <s v="正常"/>
    <n v="6040000"/>
    <s v="[33,33,33,42,33,9,42,33,42,9,100,9]"/>
    <d v="2025-01-23T00:00:00"/>
    <s v="日期正确"/>
    <x v="18"/>
    <s v="正常"/>
  </r>
  <r>
    <s v="PMP® Certification Course | Flat 40% Off - Enroll Now"/>
    <x v="147"/>
    <s v="pmp certification online course"/>
    <s v="重复"/>
    <n v="6"/>
    <s v="正常"/>
    <n v="6"/>
    <n v="170"/>
    <n v="9.7799999999999994"/>
    <n v="0"/>
    <n v="0"/>
    <s v="正常"/>
    <n v="0"/>
    <n v="0"/>
    <n v="0.62"/>
    <s v="正常"/>
    <n v="35200000"/>
    <s v="[9,15,19,15,23,4,1,12,23,23,100,36]"/>
    <d v="2024-12-27T00:00:00"/>
    <s v="日期正确"/>
    <x v="41"/>
    <s v="正常"/>
  </r>
  <r>
    <s v="Master ITIL 4 Foundation | 100% Exam Pass Guarantee"/>
    <x v="148"/>
    <s v="itilv4 foundation"/>
    <s v="唯一"/>
    <n v="3"/>
    <s v="正常"/>
    <n v="3"/>
    <n v="30"/>
    <n v="3.54"/>
    <n v="0"/>
    <n v="0"/>
    <s v="正常"/>
    <n v="0"/>
    <n v="0"/>
    <n v="0.43"/>
    <s v="正常"/>
    <n v="1190000"/>
    <s v="[0,0,19,0,0,14,0,19,0,0,100,4]"/>
    <d v="2024-12-28T00:00:00"/>
    <s v="日期正确"/>
    <x v="57"/>
    <s v="正常"/>
  </r>
  <r>
    <s v="Master ITIL 4 Foundation | 100% Exam Pass Guarantee"/>
    <x v="148"/>
    <s v="itilv4 foundation"/>
    <s v="唯一"/>
    <n v="6"/>
    <s v="正常"/>
    <n v="6"/>
    <n v="30"/>
    <n v="3.54"/>
    <n v="0"/>
    <n v="0"/>
    <s v="正常"/>
    <n v="0"/>
    <n v="0"/>
    <n v="0.43"/>
    <s v="正常"/>
    <n v="1190000"/>
    <s v="[0,0,19,0,0,14,0,19,0,0,100,4]"/>
    <d v="2024-12-28T00:00:00"/>
    <s v="日期正确"/>
    <x v="57"/>
    <s v="正常"/>
  </r>
  <r>
    <s v="ITIL Foundations Course | Clear ITIL Exam on 1st Attempt"/>
    <x v="149"/>
    <s v="itil foundations training"/>
    <s v="重复"/>
    <n v="3"/>
    <s v="正常"/>
    <n v="3"/>
    <n v="40"/>
    <n v="6.34"/>
    <n v="0"/>
    <n v="0"/>
    <s v="正常"/>
    <n v="0"/>
    <n v="0"/>
    <n v="0.38"/>
    <s v="正常"/>
    <n v="11500000"/>
    <s v="[23,19,23,23,0,23,19,14,19,23,14,23]"/>
    <d v="2024-12-31T00:00:00"/>
    <s v="日期正确"/>
    <x v="36"/>
    <s v="正常"/>
  </r>
  <r>
    <s v="Simplilearn PMP® Course - Limited Offer: Get $400 Off"/>
    <x v="76"/>
    <s v="siplilearn"/>
    <s v="唯一"/>
    <n v="2"/>
    <s v="正常"/>
    <n v="2"/>
    <n v="70"/>
    <n v="1.88"/>
    <n v="0"/>
    <n v="0"/>
    <s v="正常"/>
    <n v="0"/>
    <n v="0"/>
    <n v="0.16"/>
    <s v="正常"/>
    <n v="4790000"/>
    <s v="[0,4,4,0,0,0,0,0,0,0,0,100]"/>
    <d v="2025-01-02T00:00:00"/>
    <s v="日期正确"/>
    <x v="25"/>
    <s v="正常"/>
  </r>
  <r>
    <s v="Simplilearn® Courses | Online Certification Courses"/>
    <x v="78"/>
    <s v="simplielearn"/>
    <s v="唯一"/>
    <n v="2"/>
    <s v="正常"/>
    <n v="2"/>
    <n v="70"/>
    <n v="1.88"/>
    <n v="0"/>
    <n v="0"/>
    <s v="正常"/>
    <n v="0"/>
    <n v="0"/>
    <n v="0.16"/>
    <s v="正常"/>
    <n v="4820000"/>
    <s v="[3,2,0,4,5,0,0,0,8,0,0,4]"/>
    <d v="2024-12-29T00:00:00"/>
    <s v="日期正确"/>
    <x v="17"/>
    <s v="正常"/>
  </r>
  <r>
    <s v="CSPO® Certification - Special Offer: Flat $279 Off"/>
    <x v="150"/>
    <s v="knowledgehut cspo"/>
    <s v="重复"/>
    <n v="2"/>
    <s v="正常"/>
    <n v="2"/>
    <n v="30"/>
    <n v="46.86"/>
    <n v="0"/>
    <n v="0"/>
    <s v="正常"/>
    <n v="0"/>
    <n v="0"/>
    <n v="0.23"/>
    <s v="正常"/>
    <n v="54"/>
    <s v="[18,18,18,18,18,18,18,18,18,18,100,18]"/>
    <d v="2024-12-31T00:00:00"/>
    <s v="日期正确"/>
    <x v="62"/>
    <s v="正常"/>
  </r>
  <r>
    <s v="Become CAPM® Ready in 3 Weeks | Ace CAPM® Exam in 1st..."/>
    <x v="151"/>
    <s v="capm training classes"/>
    <s v="重复"/>
    <n v="2"/>
    <s v="正常"/>
    <n v="2"/>
    <n v="70"/>
    <n v="5.62"/>
    <n v="0"/>
    <n v="0"/>
    <s v="正常"/>
    <n v="0"/>
    <n v="0"/>
    <n v="0.4"/>
    <s v="正常"/>
    <n v="952000"/>
    <s v="[11,52,64,52,52,52,29,41,29,29,29,29]"/>
    <d v="2025-01-16T00:00:00"/>
    <s v="日期正确"/>
    <x v="45"/>
    <s v="正常"/>
  </r>
  <r>
    <s v="Become Certified Scrum Master | Limited-time Offer: $270 Only"/>
    <x v="152"/>
    <s v="agile certified scrum master"/>
    <s v="重复"/>
    <n v="3"/>
    <s v="正常"/>
    <n v="3"/>
    <n v="90"/>
    <n v="3.19"/>
    <n v="0"/>
    <n v="0"/>
    <s v="正常"/>
    <n v="0"/>
    <n v="0"/>
    <n v="0.51"/>
    <s v="正常"/>
    <n v="16100000"/>
    <s v="[4,4,8,6,6,8,13,4,0,3,4,5]"/>
    <d v="2024-12-31T00:00:00"/>
    <s v="日期正确"/>
    <x v="31"/>
    <s v="正常"/>
  </r>
  <r>
    <s v="Simplilearn Online Bootcamps | Online Certification Courses"/>
    <x v="153"/>
    <s v="simplilearn generative ai"/>
    <s v="重复"/>
    <n v="3"/>
    <s v="正常"/>
    <n v="3"/>
    <n v="30"/>
    <n v="7.87"/>
    <n v="0"/>
    <n v="0"/>
    <s v="正常"/>
    <n v="0"/>
    <n v="0"/>
    <n v="0.85"/>
    <s v="正常"/>
    <n v="568000"/>
    <s v="[18,18,18,18,18,18,18,100,100,18,18,18]"/>
    <d v="2025-01-05T00:00:00"/>
    <s v="日期正确"/>
    <x v="52"/>
    <s v="正常"/>
  </r>
  <r>
    <s v="PMP® Exam &amp; Certification | Special Offer: Get $400 Off"/>
    <x v="154"/>
    <s v="pmp certificering"/>
    <s v="重复"/>
    <n v="6"/>
    <s v="正常"/>
    <n v="6"/>
    <n v="30"/>
    <n v="3.77"/>
    <n v="0"/>
    <n v="0"/>
    <s v="正常"/>
    <n v="0"/>
    <n v="0"/>
    <n v="0.19"/>
    <s v="正常"/>
    <n v="29700"/>
    <s v="[40,0,0,80,100,100,60,40,40,60,40,40]"/>
    <d v="2024-12-31T00:00:00"/>
    <s v="日期正确"/>
    <x v="21"/>
    <s v="正常"/>
  </r>
  <r>
    <s v="PMP® Exam &amp; Certification - Flat 40% Off - Enroll Now"/>
    <x v="155"/>
    <s v="pmp certification 35 hours online training"/>
    <s v="重复"/>
    <n v="4"/>
    <s v="正常"/>
    <n v="4"/>
    <n v="40"/>
    <n v="7.75"/>
    <n v="0"/>
    <n v="0"/>
    <s v="正常"/>
    <n v="0"/>
    <n v="0"/>
    <n v="0.61"/>
    <s v="正常"/>
    <n v="28500000"/>
    <s v="[23,11,41,29,17,11,17,23,23,29,11,11]"/>
    <d v="2024-12-31T00:00:00"/>
    <s v="日期正确"/>
    <x v="59"/>
    <s v="正常"/>
  </r>
  <r>
    <s v="Certified Scrum Product Owner® | Limited Offer: Flat $279 Off"/>
    <x v="156"/>
    <s v="scrum alliance csm certification cost"/>
    <s v="重复"/>
    <n v="4"/>
    <s v="正常"/>
    <n v="4"/>
    <n v="90"/>
    <n v="2.62"/>
    <n v="0"/>
    <n v="0"/>
    <s v="正常"/>
    <n v="0"/>
    <n v="0"/>
    <n v="0.39"/>
    <s v="正常"/>
    <n v="512000"/>
    <s v="[6,28,34,28,6,28,100,53,15,15,12,15]"/>
    <d v="2025-01-16T00:00:00"/>
    <s v="日期正确"/>
    <x v="33"/>
    <s v="正常"/>
  </r>
  <r>
    <s v="PMP® Certification Course"/>
    <x v="157"/>
    <s v="duration of pmp course"/>
    <s v="重复"/>
    <n v="2"/>
    <s v="正常"/>
    <n v="2"/>
    <n v="50"/>
    <n v="2.61"/>
    <n v="0"/>
    <n v="0"/>
    <s v="正常"/>
    <n v="0"/>
    <n v="0"/>
    <n v="0.24"/>
    <s v="正常"/>
    <n v="21900000"/>
    <s v="[18,81,18,18,81,18,18,18,100,18,100,18]"/>
    <d v="2025-01-22T00:00:00"/>
    <s v="日期正确"/>
    <x v="18"/>
    <s v="正常"/>
  </r>
  <r>
    <s v="TOGAF® Certification Exam Cost | TOGAF® Free Exam Retake"/>
    <x v="158"/>
    <s v="togaf certification price"/>
    <s v="重复"/>
    <n v="4"/>
    <s v="正常"/>
    <n v="4"/>
    <n v="30"/>
    <n v="1.94"/>
    <n v="0"/>
    <n v="0"/>
    <s v="正常"/>
    <n v="0"/>
    <n v="0"/>
    <n v="0.3"/>
    <s v="正常"/>
    <n v="384000"/>
    <s v="[28,71,28,28,42,28,28,28,28,28,71,28]"/>
    <d v="2025-01-13T00:00:00"/>
    <s v="日期正确"/>
    <x v="46"/>
    <s v="正常"/>
  </r>
  <r>
    <s v="Master ITIL 4 Foundation - 100% Exam Pass Guarantee"/>
    <x v="159"/>
    <s v="itil foundation test"/>
    <s v="重复"/>
    <n v="2"/>
    <s v="正常"/>
    <n v="2"/>
    <n v="50"/>
    <n v="2.4900000000000002"/>
    <n v="0"/>
    <n v="0"/>
    <s v="正常"/>
    <n v="0"/>
    <n v="0"/>
    <n v="0.53"/>
    <s v="正常"/>
    <n v="4550000"/>
    <s v="[45,27,81,63,36,81,81,100,36,27,45,36]"/>
    <d v="2025-01-23T00:00:00"/>
    <s v="日期正确"/>
    <x v="16"/>
    <s v="正常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4A75B-9EAE-4FA2-B936-CEEA7428C567}" name="数据透视表2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Keyword">
  <location ref="D3:E164" firstHeaderRow="1" firstDataRow="1" firstDataCol="1"/>
  <pivotFields count="22">
    <pivotField showAll="0"/>
    <pivotField axis="axisRow" showAll="0" sortType="descending">
      <items count="161">
        <item x="74"/>
        <item x="152"/>
        <item x="33"/>
        <item x="43"/>
        <item x="134"/>
        <item x="82"/>
        <item x="123"/>
        <item x="126"/>
        <item x="128"/>
        <item x="120"/>
        <item x="11"/>
        <item x="92"/>
        <item x="151"/>
        <item x="101"/>
        <item x="97"/>
        <item x="53"/>
        <item x="7"/>
        <item x="70"/>
        <item x="3"/>
        <item x="68"/>
        <item x="73"/>
        <item x="115"/>
        <item x="104"/>
        <item x="64"/>
        <item x="63"/>
        <item x="4"/>
        <item x="117"/>
        <item x="86"/>
        <item x="17"/>
        <item x="65"/>
        <item x="136"/>
        <item x="157"/>
        <item x="135"/>
        <item x="93"/>
        <item x="36"/>
        <item x="71"/>
        <item x="59"/>
        <item x="141"/>
        <item x="132"/>
        <item x="121"/>
        <item x="60"/>
        <item x="146"/>
        <item x="90"/>
        <item x="111"/>
        <item x="2"/>
        <item x="95"/>
        <item x="124"/>
        <item x="103"/>
        <item x="29"/>
        <item x="129"/>
        <item x="81"/>
        <item x="75"/>
        <item x="159"/>
        <item x="94"/>
        <item x="100"/>
        <item x="149"/>
        <item x="125"/>
        <item x="148"/>
        <item x="109"/>
        <item x="150"/>
        <item x="130"/>
        <item x="39"/>
        <item x="85"/>
        <item x="8"/>
        <item x="122"/>
        <item x="44"/>
        <item x="113"/>
        <item x="98"/>
        <item x="0"/>
        <item x="155"/>
        <item x="18"/>
        <item x="84"/>
        <item x="23"/>
        <item x="147"/>
        <item x="6"/>
        <item x="55"/>
        <item x="127"/>
        <item x="14"/>
        <item x="154"/>
        <item x="38"/>
        <item x="112"/>
        <item x="19"/>
        <item x="25"/>
        <item x="28"/>
        <item x="58"/>
        <item x="96"/>
        <item x="144"/>
        <item x="34"/>
        <item x="87"/>
        <item x="140"/>
        <item x="35"/>
        <item x="40"/>
        <item x="89"/>
        <item x="138"/>
        <item x="119"/>
        <item x="12"/>
        <item x="9"/>
        <item x="10"/>
        <item x="57"/>
        <item x="131"/>
        <item x="139"/>
        <item x="13"/>
        <item x="42"/>
        <item x="30"/>
        <item x="156"/>
        <item x="1"/>
        <item x="137"/>
        <item x="48"/>
        <item x="143"/>
        <item x="69"/>
        <item x="31"/>
        <item x="46"/>
        <item x="91"/>
        <item x="110"/>
        <item x="20"/>
        <item x="37"/>
        <item x="61"/>
        <item x="21"/>
        <item x="77"/>
        <item x="78"/>
        <item x="56"/>
        <item x="51"/>
        <item x="52"/>
        <item x="79"/>
        <item x="5"/>
        <item x="24"/>
        <item x="99"/>
        <item x="62"/>
        <item x="116"/>
        <item x="108"/>
        <item x="72"/>
        <item x="114"/>
        <item x="118"/>
        <item x="153"/>
        <item x="106"/>
        <item x="66"/>
        <item x="15"/>
        <item x="107"/>
        <item x="47"/>
        <item x="83"/>
        <item x="88"/>
        <item x="41"/>
        <item x="54"/>
        <item x="22"/>
        <item x="80"/>
        <item x="26"/>
        <item x="76"/>
        <item x="67"/>
        <item x="50"/>
        <item x="16"/>
        <item x="142"/>
        <item x="27"/>
        <item x="158"/>
        <item x="102"/>
        <item x="49"/>
        <item x="32"/>
        <item x="133"/>
        <item x="45"/>
        <item x="105"/>
        <item x="1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>
      <items count="64">
        <item x="58"/>
        <item x="43"/>
        <item x="62"/>
        <item x="54"/>
        <item x="44"/>
        <item x="49"/>
        <item x="50"/>
        <item x="40"/>
        <item x="51"/>
        <item x="60"/>
        <item x="48"/>
        <item x="46"/>
        <item x="39"/>
        <item x="28"/>
        <item x="55"/>
        <item x="30"/>
        <item x="16"/>
        <item x="59"/>
        <item x="36"/>
        <item x="37"/>
        <item x="53"/>
        <item x="57"/>
        <item x="38"/>
        <item x="24"/>
        <item x="25"/>
        <item x="45"/>
        <item x="56"/>
        <item x="52"/>
        <item x="34"/>
        <item x="27"/>
        <item x="17"/>
        <item x="11"/>
        <item x="18"/>
        <item x="33"/>
        <item x="8"/>
        <item x="32"/>
        <item x="5"/>
        <item x="35"/>
        <item x="7"/>
        <item x="9"/>
        <item x="3"/>
        <item x="20"/>
        <item x="6"/>
        <item x="15"/>
        <item x="41"/>
        <item x="19"/>
        <item x="61"/>
        <item x="22"/>
        <item x="23"/>
        <item x="42"/>
        <item x="21"/>
        <item x="31"/>
        <item x="14"/>
        <item x="2"/>
        <item x="10"/>
        <item x="13"/>
        <item x="12"/>
        <item x="1"/>
        <item x="0"/>
        <item x="26"/>
        <item x="4"/>
        <item x="29"/>
        <item x="47"/>
        <item t="default"/>
      </items>
    </pivotField>
    <pivotField showAll="0"/>
  </pivotFields>
  <rowFields count="1">
    <field x="1"/>
  </rowFields>
  <rowItems count="161">
    <i>
      <x v="2"/>
    </i>
    <i>
      <x v="97"/>
    </i>
    <i>
      <x v="138"/>
    </i>
    <i>
      <x v="3"/>
    </i>
    <i>
      <x v="68"/>
    </i>
    <i>
      <x v="137"/>
    </i>
    <i>
      <x v="24"/>
    </i>
    <i>
      <x v="67"/>
    </i>
    <i>
      <x v="96"/>
    </i>
    <i>
      <x v="139"/>
    </i>
    <i>
      <x v="15"/>
    </i>
    <i>
      <x v="16"/>
    </i>
    <i>
      <x v="77"/>
    </i>
    <i>
      <x v="105"/>
    </i>
    <i>
      <x v="75"/>
    </i>
    <i>
      <x v="65"/>
    </i>
    <i>
      <x v="110"/>
    </i>
    <i>
      <x v="94"/>
    </i>
    <i>
      <x v="79"/>
    </i>
    <i>
      <x v="123"/>
    </i>
    <i>
      <x v="149"/>
    </i>
    <i>
      <x v="1"/>
    </i>
    <i>
      <x v="91"/>
    </i>
    <i>
      <x v="78"/>
    </i>
    <i>
      <x v="117"/>
    </i>
    <i>
      <x v="17"/>
    </i>
    <i>
      <x v="150"/>
    </i>
    <i>
      <x v="81"/>
    </i>
    <i>
      <x v="145"/>
    </i>
    <i>
      <x v="141"/>
    </i>
    <i>
      <x v="48"/>
    </i>
    <i>
      <x v="118"/>
    </i>
    <i>
      <x v="143"/>
    </i>
    <i>
      <x v="106"/>
    </i>
    <i>
      <x v="66"/>
    </i>
    <i>
      <x v="4"/>
    </i>
    <i>
      <x v="20"/>
    </i>
    <i>
      <x v="22"/>
    </i>
    <i>
      <x v="30"/>
    </i>
    <i>
      <x v="73"/>
    </i>
    <i>
      <x v="19"/>
    </i>
    <i>
      <x v="10"/>
    </i>
    <i>
      <x v="90"/>
    </i>
    <i>
      <x v="71"/>
    </i>
    <i>
      <x v="62"/>
    </i>
    <i>
      <x v="25"/>
    </i>
    <i>
      <x v="103"/>
    </i>
    <i>
      <x v="124"/>
    </i>
    <i>
      <x v="114"/>
    </i>
    <i>
      <x v="136"/>
    </i>
    <i>
      <x v="35"/>
    </i>
    <i>
      <x v="64"/>
    </i>
    <i>
      <x v="89"/>
    </i>
    <i>
      <x v="44"/>
    </i>
    <i>
      <x v="74"/>
    </i>
    <i>
      <x v="142"/>
    </i>
    <i>
      <x v="47"/>
    </i>
    <i>
      <x v="18"/>
    </i>
    <i>
      <x v="130"/>
    </i>
    <i>
      <x v="21"/>
    </i>
    <i>
      <x v="154"/>
    </i>
    <i>
      <x v="131"/>
    </i>
    <i>
      <x v="119"/>
    </i>
    <i>
      <x v="155"/>
    </i>
    <i>
      <x v="132"/>
    </i>
    <i>
      <x v="148"/>
    </i>
    <i>
      <x v="147"/>
    </i>
    <i>
      <x v="88"/>
    </i>
    <i>
      <x v="111"/>
    </i>
    <i>
      <x v="122"/>
    </i>
    <i>
      <x v="76"/>
    </i>
    <i>
      <x v="115"/>
    </i>
    <i>
      <x v="101"/>
    </i>
    <i>
      <x v="27"/>
    </i>
    <i>
      <x v="109"/>
    </i>
    <i>
      <x v="5"/>
    </i>
    <i>
      <x v="58"/>
    </i>
    <i>
      <x v="92"/>
    </i>
    <i>
      <x v="144"/>
    </i>
    <i>
      <x v="32"/>
    </i>
    <i>
      <x v="104"/>
    </i>
    <i>
      <x v="34"/>
    </i>
    <i>
      <x v="31"/>
    </i>
    <i>
      <x v="41"/>
    </i>
    <i>
      <x v="70"/>
    </i>
    <i>
      <x v="63"/>
    </i>
    <i>
      <x v="61"/>
    </i>
    <i>
      <x v="39"/>
    </i>
    <i>
      <x v="11"/>
    </i>
    <i>
      <x v="120"/>
    </i>
    <i>
      <x v="102"/>
    </i>
    <i>
      <x v="29"/>
    </i>
    <i>
      <x v="28"/>
    </i>
    <i>
      <x/>
    </i>
    <i>
      <x v="113"/>
    </i>
    <i>
      <x v="40"/>
    </i>
    <i>
      <x v="151"/>
    </i>
    <i>
      <x v="98"/>
    </i>
    <i>
      <x v="157"/>
    </i>
    <i>
      <x v="107"/>
    </i>
    <i>
      <x v="26"/>
    </i>
    <i>
      <x v="82"/>
    </i>
    <i>
      <x v="134"/>
    </i>
    <i>
      <x v="133"/>
    </i>
    <i>
      <x v="46"/>
    </i>
    <i>
      <x v="12"/>
    </i>
    <i>
      <x v="6"/>
    </i>
    <i>
      <x v="140"/>
    </i>
    <i>
      <x v="146"/>
    </i>
    <i>
      <x v="7"/>
    </i>
    <i>
      <x v="121"/>
    </i>
    <i>
      <x v="116"/>
    </i>
    <i>
      <x v="100"/>
    </i>
    <i>
      <x v="128"/>
    </i>
    <i>
      <x v="93"/>
    </i>
    <i>
      <x v="72"/>
    </i>
    <i>
      <x v="125"/>
    </i>
    <i>
      <x v="54"/>
    </i>
    <i>
      <x v="127"/>
    </i>
    <i>
      <x v="57"/>
    </i>
    <i>
      <x v="86"/>
    </i>
    <i>
      <x v="56"/>
    </i>
    <i>
      <x v="129"/>
    </i>
    <i>
      <x v="159"/>
    </i>
    <i>
      <x v="99"/>
    </i>
    <i>
      <x v="49"/>
    </i>
    <i>
      <x v="153"/>
    </i>
    <i>
      <x v="36"/>
    </i>
    <i>
      <x v="55"/>
    </i>
    <i>
      <x v="8"/>
    </i>
    <i>
      <x v="84"/>
    </i>
    <i>
      <x v="45"/>
    </i>
    <i>
      <x v="69"/>
    </i>
    <i>
      <x v="38"/>
    </i>
    <i>
      <x v="95"/>
    </i>
    <i>
      <x v="85"/>
    </i>
    <i>
      <x v="52"/>
    </i>
    <i>
      <x v="126"/>
    </i>
    <i>
      <x v="87"/>
    </i>
    <i>
      <x v="80"/>
    </i>
    <i>
      <x v="108"/>
    </i>
    <i>
      <x v="14"/>
    </i>
    <i>
      <x v="83"/>
    </i>
    <i>
      <x v="23"/>
    </i>
    <i>
      <x v="152"/>
    </i>
    <i>
      <x v="42"/>
    </i>
    <i>
      <x v="33"/>
    </i>
    <i>
      <x v="156"/>
    </i>
    <i>
      <x v="158"/>
    </i>
    <i>
      <x v="9"/>
    </i>
    <i>
      <x v="135"/>
    </i>
    <i>
      <x v="37"/>
    </i>
    <i>
      <x v="13"/>
    </i>
    <i>
      <x v="53"/>
    </i>
    <i>
      <x v="50"/>
    </i>
    <i>
      <x v="43"/>
    </i>
    <i>
      <x v="59"/>
    </i>
    <i>
      <x v="51"/>
    </i>
    <i>
      <x v="60"/>
    </i>
    <i>
      <x v="112"/>
    </i>
    <i t="grand">
      <x/>
    </i>
  </rowItems>
  <colItems count="1">
    <i/>
  </colItems>
  <dataFields count="1">
    <dataField name="平均值项:Keyword Difficulty" fld="20" subtotal="average" baseField="0" baseItem="0" numFmtId="183"/>
  </dataFields>
  <formats count="3">
    <format dxfId="11">
      <pivotArea collapsedLevelsAreSubtotals="1" fieldPosition="0">
        <references count="1">
          <reference field="1" count="1">
            <x v="3"/>
          </reference>
        </references>
      </pivotArea>
    </format>
    <format dxfId="7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92C7C-2534-4652-B91C-7260DB2208DE}" name="数据透视表1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rowHeaderCaption="Keyword">
  <location ref="A3:B164" firstHeaderRow="1" firstDataRow="1" firstDataCol="1"/>
  <pivotFields count="22">
    <pivotField showAll="0"/>
    <pivotField axis="axisRow" dataField="1" showAll="0" sortType="descending">
      <items count="161">
        <item x="74"/>
        <item x="152"/>
        <item x="33"/>
        <item x="43"/>
        <item x="134"/>
        <item x="82"/>
        <item x="123"/>
        <item x="126"/>
        <item x="128"/>
        <item x="120"/>
        <item x="11"/>
        <item x="92"/>
        <item x="151"/>
        <item x="101"/>
        <item x="97"/>
        <item x="53"/>
        <item x="7"/>
        <item x="70"/>
        <item x="3"/>
        <item x="68"/>
        <item x="73"/>
        <item x="115"/>
        <item x="104"/>
        <item x="64"/>
        <item x="63"/>
        <item x="4"/>
        <item x="117"/>
        <item x="86"/>
        <item x="17"/>
        <item x="65"/>
        <item x="136"/>
        <item x="157"/>
        <item x="135"/>
        <item x="93"/>
        <item x="36"/>
        <item x="71"/>
        <item x="59"/>
        <item x="141"/>
        <item x="132"/>
        <item x="121"/>
        <item x="60"/>
        <item x="146"/>
        <item x="90"/>
        <item x="111"/>
        <item x="2"/>
        <item x="95"/>
        <item x="124"/>
        <item x="103"/>
        <item x="29"/>
        <item x="129"/>
        <item x="81"/>
        <item x="75"/>
        <item x="159"/>
        <item x="94"/>
        <item x="100"/>
        <item x="149"/>
        <item x="125"/>
        <item x="148"/>
        <item x="109"/>
        <item x="150"/>
        <item x="130"/>
        <item x="39"/>
        <item x="85"/>
        <item x="8"/>
        <item x="122"/>
        <item x="44"/>
        <item x="113"/>
        <item x="98"/>
        <item x="0"/>
        <item x="155"/>
        <item x="18"/>
        <item x="84"/>
        <item x="23"/>
        <item x="147"/>
        <item x="6"/>
        <item x="55"/>
        <item x="127"/>
        <item x="14"/>
        <item x="154"/>
        <item x="38"/>
        <item x="112"/>
        <item x="19"/>
        <item x="25"/>
        <item x="28"/>
        <item x="58"/>
        <item x="96"/>
        <item x="144"/>
        <item x="34"/>
        <item x="87"/>
        <item x="140"/>
        <item x="35"/>
        <item x="40"/>
        <item x="89"/>
        <item x="138"/>
        <item x="119"/>
        <item x="12"/>
        <item x="9"/>
        <item x="10"/>
        <item x="57"/>
        <item x="131"/>
        <item x="139"/>
        <item x="13"/>
        <item x="42"/>
        <item x="30"/>
        <item x="156"/>
        <item x="1"/>
        <item x="137"/>
        <item x="48"/>
        <item x="143"/>
        <item x="69"/>
        <item x="31"/>
        <item x="46"/>
        <item x="91"/>
        <item x="110"/>
        <item x="20"/>
        <item x="37"/>
        <item x="61"/>
        <item x="21"/>
        <item x="77"/>
        <item x="78"/>
        <item x="56"/>
        <item x="51"/>
        <item x="52"/>
        <item x="79"/>
        <item x="5"/>
        <item x="24"/>
        <item x="99"/>
        <item x="62"/>
        <item x="116"/>
        <item x="108"/>
        <item x="72"/>
        <item x="114"/>
        <item x="118"/>
        <item x="153"/>
        <item x="106"/>
        <item x="66"/>
        <item x="15"/>
        <item x="107"/>
        <item x="47"/>
        <item x="83"/>
        <item x="88"/>
        <item x="41"/>
        <item x="54"/>
        <item x="22"/>
        <item x="80"/>
        <item x="26"/>
        <item x="76"/>
        <item x="67"/>
        <item x="50"/>
        <item x="16"/>
        <item x="142"/>
        <item x="27"/>
        <item x="158"/>
        <item x="102"/>
        <item x="49"/>
        <item x="32"/>
        <item x="133"/>
        <item x="45"/>
        <item x="105"/>
        <item x="1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1"/>
  </rowFields>
  <rowItems count="161">
    <i>
      <x v="68"/>
    </i>
    <i>
      <x v="105"/>
    </i>
    <i>
      <x v="18"/>
    </i>
    <i>
      <x v="124"/>
    </i>
    <i>
      <x v="126"/>
    </i>
    <i>
      <x v="151"/>
    </i>
    <i>
      <x v="81"/>
    </i>
    <i>
      <x v="139"/>
    </i>
    <i>
      <x v="121"/>
    </i>
    <i>
      <x v="28"/>
    </i>
    <i>
      <x v="57"/>
    </i>
    <i>
      <x v="40"/>
    </i>
    <i>
      <x v="16"/>
    </i>
    <i>
      <x v="44"/>
    </i>
    <i>
      <x v="14"/>
    </i>
    <i>
      <x v="119"/>
    </i>
    <i>
      <x v="145"/>
    </i>
    <i>
      <x v="36"/>
    </i>
    <i>
      <x v="146"/>
    </i>
    <i>
      <x v="136"/>
    </i>
    <i>
      <x v="148"/>
    </i>
    <i>
      <x v="143"/>
    </i>
    <i>
      <x v="99"/>
    </i>
    <i>
      <x v="103"/>
    </i>
    <i>
      <x v="147"/>
    </i>
    <i>
      <x v="82"/>
    </i>
    <i>
      <x v="89"/>
    </i>
    <i>
      <x v="74"/>
    </i>
    <i>
      <x v="91"/>
    </i>
    <i>
      <x v="123"/>
    </i>
    <i>
      <x v="107"/>
    </i>
    <i>
      <x v="29"/>
    </i>
    <i>
      <x v="22"/>
    </i>
    <i>
      <x v="30"/>
    </i>
    <i>
      <x v="1"/>
    </i>
    <i>
      <x v="31"/>
    </i>
    <i>
      <x v="115"/>
    </i>
    <i>
      <x v="32"/>
    </i>
    <i>
      <x v="131"/>
    </i>
    <i>
      <x v="33"/>
    </i>
    <i>
      <x v="26"/>
    </i>
    <i>
      <x v="34"/>
    </i>
    <i>
      <x v="95"/>
    </i>
    <i>
      <x v="35"/>
    </i>
    <i>
      <x v="15"/>
    </i>
    <i>
      <x v="5"/>
    </i>
    <i>
      <x v="111"/>
    </i>
    <i>
      <x v="37"/>
    </i>
    <i>
      <x v="17"/>
    </i>
    <i>
      <x v="38"/>
    </i>
    <i>
      <x v="127"/>
    </i>
    <i>
      <x v="39"/>
    </i>
    <i>
      <x v="135"/>
    </i>
    <i>
      <x v="6"/>
    </i>
    <i>
      <x v="23"/>
    </i>
    <i>
      <x v="41"/>
    </i>
    <i>
      <x v="13"/>
    </i>
    <i>
      <x v="42"/>
    </i>
    <i>
      <x v="93"/>
    </i>
    <i>
      <x v="43"/>
    </i>
    <i>
      <x v="97"/>
    </i>
    <i>
      <x v="7"/>
    </i>
    <i>
      <x v="101"/>
    </i>
    <i>
      <x v="45"/>
    </i>
    <i>
      <x v="2"/>
    </i>
    <i>
      <x v="46"/>
    </i>
    <i>
      <x v="109"/>
    </i>
    <i>
      <x v="47"/>
    </i>
    <i>
      <x v="113"/>
    </i>
    <i>
      <x v="48"/>
    </i>
    <i>
      <x v="117"/>
    </i>
    <i>
      <x v="49"/>
    </i>
    <i>
      <x v="3"/>
    </i>
    <i>
      <x v="50"/>
    </i>
    <i>
      <x v="125"/>
    </i>
    <i>
      <x v="51"/>
    </i>
    <i>
      <x v="129"/>
    </i>
    <i>
      <x v="52"/>
    </i>
    <i>
      <x v="133"/>
    </i>
    <i>
      <x v="53"/>
    </i>
    <i>
      <x v="137"/>
    </i>
    <i>
      <x v="54"/>
    </i>
    <i>
      <x v="141"/>
    </i>
    <i>
      <x v="55"/>
    </i>
    <i>
      <x v="24"/>
    </i>
    <i>
      <x v="56"/>
    </i>
    <i>
      <x v="149"/>
    </i>
    <i>
      <x v="8"/>
    </i>
    <i>
      <x v="90"/>
    </i>
    <i>
      <x v="58"/>
    </i>
    <i>
      <x v="92"/>
    </i>
    <i>
      <x v="59"/>
    </i>
    <i>
      <x v="94"/>
    </i>
    <i>
      <x v="60"/>
    </i>
    <i>
      <x v="96"/>
    </i>
    <i>
      <x v="61"/>
    </i>
    <i>
      <x v="98"/>
    </i>
    <i>
      <x v="62"/>
    </i>
    <i>
      <x v="100"/>
    </i>
    <i>
      <x v="63"/>
    </i>
    <i>
      <x v="102"/>
    </i>
    <i>
      <x v="64"/>
    </i>
    <i>
      <x v="104"/>
    </i>
    <i>
      <x v="65"/>
    </i>
    <i>
      <x v="106"/>
    </i>
    <i>
      <x v="66"/>
    </i>
    <i>
      <x v="108"/>
    </i>
    <i>
      <x v="67"/>
    </i>
    <i>
      <x v="110"/>
    </i>
    <i>
      <x v="9"/>
    </i>
    <i>
      <x v="112"/>
    </i>
    <i>
      <x v="69"/>
    </i>
    <i>
      <x v="114"/>
    </i>
    <i>
      <x v="70"/>
    </i>
    <i>
      <x v="116"/>
    </i>
    <i>
      <x v="71"/>
    </i>
    <i>
      <x v="118"/>
    </i>
    <i>
      <x v="72"/>
    </i>
    <i>
      <x v="120"/>
    </i>
    <i>
      <x v="73"/>
    </i>
    <i>
      <x v="122"/>
    </i>
    <i>
      <x v="150"/>
    </i>
    <i>
      <x v="19"/>
    </i>
    <i>
      <x v="10"/>
    </i>
    <i>
      <x v="20"/>
    </i>
    <i>
      <x v="153"/>
    </i>
    <i>
      <x v="128"/>
    </i>
    <i>
      <x v="155"/>
    </i>
    <i>
      <x v="130"/>
    </i>
    <i>
      <x v="157"/>
    </i>
    <i>
      <x v="132"/>
    </i>
    <i>
      <x v="159"/>
    </i>
    <i>
      <x v="134"/>
    </i>
    <i>
      <x v="80"/>
    </i>
    <i>
      <x v="21"/>
    </i>
    <i>
      <x v="11"/>
    </i>
    <i>
      <x v="138"/>
    </i>
    <i>
      <x v="12"/>
    </i>
    <i>
      <x v="140"/>
    </i>
    <i>
      <x v="83"/>
    </i>
    <i>
      <x v="142"/>
    </i>
    <i>
      <x v="84"/>
    </i>
    <i>
      <x v="144"/>
    </i>
    <i>
      <x v="85"/>
    </i>
    <i>
      <x v="25"/>
    </i>
    <i>
      <x v="86"/>
    </i>
    <i>
      <x v="27"/>
    </i>
    <i>
      <x v="87"/>
    </i>
    <i>
      <x v="4"/>
    </i>
    <i>
      <x v="88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/>
    </i>
    <i>
      <x v="79"/>
    </i>
    <i t="grand">
      <x/>
    </i>
  </rowItems>
  <colItems count="1">
    <i/>
  </colItems>
  <dataFields count="1">
    <dataField name="计数项:Keywor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4D87E-32CE-4822-836E-5D9A9E336970}" name="表1" displayName="表1" ref="A1:V200" totalsRowShown="0">
  <autoFilter ref="A1:V200" xr:uid="{F274D87E-32CE-4822-836E-5D9A9E336970}"/>
  <tableColumns count="22">
    <tableColumn id="1" xr3:uid="{2DEA4FDC-BC9F-45BC-9A30-254B12BFCC35}" name="Title"/>
    <tableColumn id="2" xr3:uid="{2BF9C98B-34D5-4151-837A-7D4B6A9D8BB2}" name="Keyword"/>
    <tableColumn id="16" xr3:uid="{785933FD-6786-475F-BF5B-76BBA9D59D37}" name="Keyword_Clean" dataDxfId="28">
      <calculatedColumnFormula>LOWER(CLEAN(TRIM(表1[[#This Row],[Keyword]])))</calculatedColumnFormula>
    </tableColumn>
    <tableColumn id="17" xr3:uid="{3FFC67F2-7915-42F1-AFC2-7DC4F3949115}" name="Dup_Keyword" dataDxfId="27">
      <calculatedColumnFormula>IF(COUNTIF(表1[Keyword_Clean],表1[[#This Row],[Keyword_Clean]])&gt;1,"唯一","重复")</calculatedColumnFormula>
    </tableColumn>
    <tableColumn id="3" xr3:uid="{244712DC-5781-4A29-9A9B-84B4E3266942}" name="Position"/>
    <tableColumn id="18" xr3:uid="{A08A42DA-D8BD-431B-A1EC-6A0EE37DDC20}" name="Check_Position">
      <calculatedColumnFormula>IF(OR(表1[[#This Row],[Position]]="",表1[[#This Row],[Position]]&lt;=0),"异常/空","正常")</calculatedColumnFormula>
    </tableColumn>
    <tableColumn id="4" xr3:uid="{743CE45A-8E76-45FD-889E-71C6DF3F96E3}" name="Previous position"/>
    <tableColumn id="5" xr3:uid="{9BA07451-72C7-46FA-AE72-D1BE17A342CD}" name="Search Volume"/>
    <tableColumn id="6" xr3:uid="{EC79F91F-E79C-40D5-8A94-E0DF4A22136B}" name="CPC"/>
    <tableColumn id="7" xr3:uid="{1E2893FB-3A9F-4203-AABA-5342BB1B9BC8}" name="Traffic"/>
    <tableColumn id="8" xr3:uid="{0B55C241-1B8A-4CDC-B53C-9F2B8B97A636}" name="Traffic (%)"/>
    <tableColumn id="19" xr3:uid="{867F26E5-3F6D-4B8F-96EC-B402BB94A745}" name="Check_Traffic (%)">
      <calculatedColumnFormula>IF(OR(表1[[#This Row],[Traffic (%)]]&gt;=0,表1[[#This Row],[Traffic (%)]]&lt;=100),"正常","异常")</calculatedColumnFormula>
    </tableColumn>
    <tableColumn id="9" xr3:uid="{157E02E0-8BF2-4C78-B759-A837CCEDBD81}" name="Traffic Cost"/>
    <tableColumn id="10" xr3:uid="{18B81C53-7370-49C1-8E2F-6C6EC405AC6E}" name="Traffic Cost (%)"/>
    <tableColumn id="11" xr3:uid="{A142679B-557C-4877-A7BA-293717515644}" name="Competition"/>
    <tableColumn id="20" xr3:uid="{3BE8C0A7-3626-4183-B6AC-AAAB19B48CA2}" name="Check_Competition">
      <calculatedColumnFormula>IF(OR(表1[[#This Row],[Competition]]&lt;0,表1[[#This Row],[Competition]]&gt;1),"异常","正常")</calculatedColumnFormula>
    </tableColumn>
    <tableColumn id="12" xr3:uid="{F47E2BB5-9F6B-4E70-A380-5F51FC0A5D3F}" name="Number of Results"/>
    <tableColumn id="13" xr3:uid="{33C33277-AFA8-4580-B42B-DE3E88737BC2}" name="Trends"/>
    <tableColumn id="14" xr3:uid="{49D7E2BC-668A-4873-BC01-0467E1FDB924}" name="Last Seen" dataDxfId="26"/>
    <tableColumn id="22" xr3:uid="{3830DFBE-064B-49B3-BDA5-78064EB115E8}" name="Check_Last Seen" dataDxfId="25">
      <calculatedColumnFormula>IF(ISNUMBER(表1[[#This Row],[Last Seen]]),"日期正确","需要清洗")</calculatedColumnFormula>
    </tableColumn>
    <tableColumn id="15" xr3:uid="{7E7D0669-E972-40B4-B3F5-97E7D35D42A0}" name="Keyword Difficulty"/>
    <tableColumn id="21" xr3:uid="{F18D6DC7-9FAA-4FCD-8BCD-3C9490630180}" name="Check_Keyword Difficulty" dataDxfId="24">
      <calculatedColumnFormula>IF(OR(表1[[#This Row],[Keyword Difficulty]]&lt;0,表1[[#This Row],[Keyword Difficulty]]&gt;100),"异常","正常")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D3E9-53C4-4A2C-AB1B-965007EAD44C}">
  <dimension ref="A1:V200"/>
  <sheetViews>
    <sheetView topLeftCell="A2" workbookViewId="0">
      <selection activeCell="A14" sqref="A14"/>
    </sheetView>
  </sheetViews>
  <sheetFormatPr defaultRowHeight="14.25" x14ac:dyDescent="0.2"/>
  <cols>
    <col min="1" max="1" width="60.375" bestFit="1" customWidth="1"/>
    <col min="2" max="3" width="62" bestFit="1" customWidth="1"/>
    <col min="4" max="4" width="15.75" bestFit="1" customWidth="1"/>
    <col min="5" max="5" width="10.375" bestFit="1" customWidth="1"/>
    <col min="6" max="6" width="16.75" bestFit="1" customWidth="1"/>
    <col min="7" max="7" width="18.875" bestFit="1" customWidth="1"/>
    <col min="8" max="8" width="16.875" bestFit="1" customWidth="1"/>
    <col min="9" max="9" width="6.875" bestFit="1" customWidth="1"/>
    <col min="10" max="10" width="8.875" bestFit="1" customWidth="1"/>
    <col min="11" max="11" width="11.625" bestFit="1" customWidth="1"/>
    <col min="12" max="12" width="18.125" bestFit="1" customWidth="1"/>
    <col min="13" max="13" width="13.125" bestFit="1" customWidth="1"/>
    <col min="14" max="14" width="16.125" bestFit="1" customWidth="1"/>
    <col min="15" max="15" width="14.25" bestFit="1" customWidth="1"/>
    <col min="16" max="16" width="20.75" bestFit="1" customWidth="1"/>
    <col min="17" max="17" width="20" bestFit="1" customWidth="1"/>
    <col min="18" max="18" width="39.5" bestFit="1" customWidth="1"/>
    <col min="19" max="19" width="11.375" style="1" bestFit="1" customWidth="1"/>
    <col min="20" max="20" width="17.875" bestFit="1" customWidth="1"/>
    <col min="21" max="21" width="20" bestFit="1" customWidth="1"/>
    <col min="22" max="22" width="26.5" bestFit="1" customWidth="1"/>
    <col min="23" max="23" width="11.375" customWidth="1"/>
    <col min="24" max="24" width="20" bestFit="1" customWidth="1"/>
  </cols>
  <sheetData>
    <row r="1" spans="1:22" x14ac:dyDescent="0.2">
      <c r="A1" t="s">
        <v>0</v>
      </c>
      <c r="B1" t="s">
        <v>1</v>
      </c>
      <c r="C1" t="s">
        <v>502</v>
      </c>
      <c r="D1" t="s">
        <v>503</v>
      </c>
      <c r="E1" t="s">
        <v>2</v>
      </c>
      <c r="F1" t="s">
        <v>504</v>
      </c>
      <c r="G1" t="s">
        <v>3</v>
      </c>
      <c r="H1" t="s">
        <v>4</v>
      </c>
      <c r="I1" t="s">
        <v>5</v>
      </c>
      <c r="J1" t="s">
        <v>6</v>
      </c>
      <c r="K1" t="s">
        <v>505</v>
      </c>
      <c r="L1" t="s">
        <v>506</v>
      </c>
      <c r="M1" t="s">
        <v>8</v>
      </c>
      <c r="N1" t="s">
        <v>9</v>
      </c>
      <c r="O1" t="s">
        <v>507</v>
      </c>
      <c r="P1" t="s">
        <v>508</v>
      </c>
      <c r="Q1" t="s">
        <v>11</v>
      </c>
      <c r="R1" t="s">
        <v>12</v>
      </c>
      <c r="S1" s="1" t="s">
        <v>511</v>
      </c>
      <c r="T1" t="s">
        <v>512</v>
      </c>
      <c r="U1" t="s">
        <v>509</v>
      </c>
      <c r="V1" t="s">
        <v>510</v>
      </c>
    </row>
    <row r="2" spans="1:22" x14ac:dyDescent="0.2">
      <c r="A2" t="s">
        <v>15</v>
      </c>
      <c r="B2" t="s">
        <v>16</v>
      </c>
      <c r="C2" s="1" t="str">
        <f>LOWER(CLEAN(TRIM(表1[[#This Row],[Keyword]])))</f>
        <v>pmp certification</v>
      </c>
      <c r="D2" s="1" t="str">
        <f>IF(COUNTIF(表1[Keyword_Clean],表1[[#This Row],[Keyword_Clean]])&gt;1,"唯一","重复")</f>
        <v>唯一</v>
      </c>
      <c r="E2">
        <v>1</v>
      </c>
      <c r="F2" t="str">
        <f>IF(OR(表1[[#This Row],[Position]]="",表1[[#This Row],[Position]]&lt;=0),"异常/空","正常")</f>
        <v>正常</v>
      </c>
      <c r="G2">
        <v>1</v>
      </c>
      <c r="H2">
        <v>90500</v>
      </c>
      <c r="I2">
        <v>3.76</v>
      </c>
      <c r="J2">
        <v>4253</v>
      </c>
      <c r="K2">
        <v>22.77</v>
      </c>
      <c r="L2" t="str">
        <f>IF(OR(表1[[#This Row],[Traffic (%)]]&gt;=0,表1[[#This Row],[Traffic (%)]]&lt;=100),"正常","异常")</f>
        <v>正常</v>
      </c>
      <c r="M2">
        <v>15991</v>
      </c>
      <c r="N2">
        <v>24.66</v>
      </c>
      <c r="O2">
        <v>0.6</v>
      </c>
      <c r="P2" t="str">
        <f>IF(OR(表1[[#This Row],[Competition]]&lt;0,表1[[#This Row],[Competition]]&gt;1),"异常","正常")</f>
        <v>正常</v>
      </c>
      <c r="Q2">
        <v>166000000</v>
      </c>
      <c r="R2" t="s">
        <v>17</v>
      </c>
      <c r="S2" s="1">
        <v>45657</v>
      </c>
      <c r="T2" s="1" t="str">
        <f>IF(ISNUMBER(表1[[#This Row],[Last Seen]]),"日期正确","需要清洗")</f>
        <v>日期正确</v>
      </c>
      <c r="U2">
        <v>78</v>
      </c>
      <c r="V2" s="1" t="str">
        <f>IF(OR(表1[[#This Row],[Keyword Difficulty]]&lt;0,表1[[#This Row],[Keyword Difficulty]]&gt;100),"异常","正常")</f>
        <v>正常</v>
      </c>
    </row>
    <row r="3" spans="1:22" x14ac:dyDescent="0.2">
      <c r="A3" t="s">
        <v>18</v>
      </c>
      <c r="B3" t="s">
        <v>16</v>
      </c>
      <c r="C3" s="1" t="str">
        <f>LOWER(CLEAN(TRIM(表1[[#This Row],[Keyword]])))</f>
        <v>pmp certification</v>
      </c>
      <c r="D3" s="1" t="str">
        <f>IF(COUNTIF(表1[Keyword_Clean],表1[[#This Row],[Keyword_Clean]])&gt;1,"唯一","重复")</f>
        <v>唯一</v>
      </c>
      <c r="E3">
        <v>1</v>
      </c>
      <c r="F3" t="str">
        <f>IF(OR(表1[[#This Row],[Position]]="",表1[[#This Row],[Position]]&lt;=0),"异常/空","正常")</f>
        <v>正常</v>
      </c>
      <c r="G3">
        <v>1</v>
      </c>
      <c r="H3">
        <v>90500</v>
      </c>
      <c r="I3">
        <v>3.76</v>
      </c>
      <c r="J3">
        <v>4253</v>
      </c>
      <c r="K3">
        <v>22.77</v>
      </c>
      <c r="L3" t="str">
        <f>IF(OR(表1[[#This Row],[Traffic (%)]]&gt;=0,表1[[#This Row],[Traffic (%)]]&lt;=100),"正常","异常")</f>
        <v>正常</v>
      </c>
      <c r="M3">
        <v>15991</v>
      </c>
      <c r="N3">
        <v>24.66</v>
      </c>
      <c r="O3">
        <v>0.6</v>
      </c>
      <c r="P3" t="str">
        <f>IF(OR(表1[[#This Row],[Competition]]&lt;0,表1[[#This Row],[Competition]]&gt;1),"异常","正常")</f>
        <v>正常</v>
      </c>
      <c r="Q3">
        <v>172000000</v>
      </c>
      <c r="R3" t="s">
        <v>17</v>
      </c>
      <c r="S3" s="1">
        <v>45658</v>
      </c>
      <c r="T3" s="1" t="str">
        <f>IF(ISNUMBER(表1[[#This Row],[Last Seen]]),"日期正确","需要清洗")</f>
        <v>日期正确</v>
      </c>
      <c r="U3">
        <v>78</v>
      </c>
      <c r="V3" s="1" t="str">
        <f>IF(OR(表1[[#This Row],[Keyword Difficulty]]&lt;0,表1[[#This Row],[Keyword Difficulty]]&gt;100),"异常","正常")</f>
        <v>正常</v>
      </c>
    </row>
    <row r="4" spans="1:22" x14ac:dyDescent="0.2">
      <c r="A4" t="s">
        <v>19</v>
      </c>
      <c r="B4" t="s">
        <v>16</v>
      </c>
      <c r="C4" s="1" t="str">
        <f>LOWER(CLEAN(TRIM(表1[[#This Row],[Keyword]])))</f>
        <v>pmp certification</v>
      </c>
      <c r="D4" s="1" t="str">
        <f>IF(COUNTIF(表1[Keyword_Clean],表1[[#This Row],[Keyword_Clean]])&gt;1,"唯一","重复")</f>
        <v>唯一</v>
      </c>
      <c r="E4">
        <v>1</v>
      </c>
      <c r="F4" t="str">
        <f>IF(OR(表1[[#This Row],[Position]]="",表1[[#This Row],[Position]]&lt;=0),"异常/空","正常")</f>
        <v>正常</v>
      </c>
      <c r="G4">
        <v>2</v>
      </c>
      <c r="H4">
        <v>90500</v>
      </c>
      <c r="I4">
        <v>3.82</v>
      </c>
      <c r="J4">
        <v>1176</v>
      </c>
      <c r="K4">
        <v>6.29</v>
      </c>
      <c r="L4" t="str">
        <f>IF(OR(表1[[#This Row],[Traffic (%)]]&gt;=0,表1[[#This Row],[Traffic (%)]]&lt;=100),"正常","异常")</f>
        <v>正常</v>
      </c>
      <c r="M4">
        <v>4492</v>
      </c>
      <c r="N4">
        <v>6.92</v>
      </c>
      <c r="O4">
        <v>0.65</v>
      </c>
      <c r="P4" t="str">
        <f>IF(OR(表1[[#This Row],[Competition]]&lt;0,表1[[#This Row],[Competition]]&gt;1),"异常","正常")</f>
        <v>正常</v>
      </c>
      <c r="Q4">
        <v>154000000</v>
      </c>
      <c r="R4" t="s">
        <v>20</v>
      </c>
      <c r="S4" s="1">
        <v>45671</v>
      </c>
      <c r="T4" s="1" t="str">
        <f>IF(ISNUMBER(表1[[#This Row],[Last Seen]]),"日期正确","需要清洗")</f>
        <v>日期正确</v>
      </c>
      <c r="U4">
        <v>77</v>
      </c>
      <c r="V4" s="1" t="str">
        <f>IF(OR(表1[[#This Row],[Keyword Difficulty]]&lt;0,表1[[#This Row],[Keyword Difficulty]]&gt;100),"异常","正常")</f>
        <v>正常</v>
      </c>
    </row>
    <row r="5" spans="1:22" x14ac:dyDescent="0.2">
      <c r="A5" t="s">
        <v>21</v>
      </c>
      <c r="B5" t="s">
        <v>22</v>
      </c>
      <c r="C5" s="1" t="str">
        <f>LOWER(CLEAN(TRIM(表1[[#This Row],[Keyword]])))</f>
        <v>scrum master certification</v>
      </c>
      <c r="D5" s="1" t="str">
        <f>IF(COUNTIF(表1[Keyword_Clean],表1[[#This Row],[Keyword_Clean]])&gt;1,"唯一","重复")</f>
        <v>唯一</v>
      </c>
      <c r="E5">
        <v>1</v>
      </c>
      <c r="F5" t="str">
        <f>IF(OR(表1[[#This Row],[Position]]="",表1[[#This Row],[Position]]&lt;=0),"异常/空","正常")</f>
        <v>正常</v>
      </c>
      <c r="G5">
        <v>1</v>
      </c>
      <c r="H5">
        <v>18100</v>
      </c>
      <c r="I5">
        <v>3.21</v>
      </c>
      <c r="J5">
        <v>850</v>
      </c>
      <c r="K5">
        <v>4.55</v>
      </c>
      <c r="L5" t="str">
        <f>IF(OR(表1[[#This Row],[Traffic (%)]]&gt;=0,表1[[#This Row],[Traffic (%)]]&lt;=100),"正常","异常")</f>
        <v>正常</v>
      </c>
      <c r="M5">
        <v>2728</v>
      </c>
      <c r="N5">
        <v>4.2</v>
      </c>
      <c r="O5">
        <v>0.64</v>
      </c>
      <c r="P5" t="str">
        <f>IF(OR(表1[[#This Row],[Competition]]&lt;0,表1[[#This Row],[Competition]]&gt;1),"异常","正常")</f>
        <v>正常</v>
      </c>
      <c r="Q5">
        <v>32000000</v>
      </c>
      <c r="R5" t="s">
        <v>23</v>
      </c>
      <c r="S5" s="1">
        <v>45667</v>
      </c>
      <c r="T5" s="1" t="str">
        <f>IF(ISNUMBER(表1[[#This Row],[Last Seen]]),"日期正确","需要清洗")</f>
        <v>日期正确</v>
      </c>
      <c r="U5">
        <v>70</v>
      </c>
      <c r="V5" s="1" t="str">
        <f>IF(OR(表1[[#This Row],[Keyword Difficulty]]&lt;0,表1[[#This Row],[Keyword Difficulty]]&gt;100),"异常","正常")</f>
        <v>正常</v>
      </c>
    </row>
    <row r="6" spans="1:22" x14ac:dyDescent="0.2">
      <c r="A6" t="s">
        <v>24</v>
      </c>
      <c r="B6" t="s">
        <v>16</v>
      </c>
      <c r="C6" s="1" t="str">
        <f>LOWER(CLEAN(TRIM(表1[[#This Row],[Keyword]])))</f>
        <v>pmp certification</v>
      </c>
      <c r="D6" s="1" t="str">
        <f>IF(COUNTIF(表1[Keyword_Clean],表1[[#This Row],[Keyword_Clean]])&gt;1,"唯一","重复")</f>
        <v>唯一</v>
      </c>
      <c r="E6">
        <v>3</v>
      </c>
      <c r="F6" t="str">
        <f>IF(OR(表1[[#This Row],[Position]]="",表1[[#This Row],[Position]]&lt;=0),"异常/空","正常")</f>
        <v>正常</v>
      </c>
      <c r="G6">
        <v>3</v>
      </c>
      <c r="H6">
        <v>90500</v>
      </c>
      <c r="I6">
        <v>3.82</v>
      </c>
      <c r="J6">
        <v>814</v>
      </c>
      <c r="K6">
        <v>4.3499999999999996</v>
      </c>
      <c r="L6" t="str">
        <f>IF(OR(表1[[#This Row],[Traffic (%)]]&gt;=0,表1[[#This Row],[Traffic (%)]]&lt;=100),"正常","异常")</f>
        <v>正常</v>
      </c>
      <c r="M6">
        <v>3109</v>
      </c>
      <c r="N6">
        <v>4.79</v>
      </c>
      <c r="O6">
        <v>0.65</v>
      </c>
      <c r="P6" t="str">
        <f>IF(OR(表1[[#This Row],[Competition]]&lt;0,表1[[#This Row],[Competition]]&gt;1),"异常","正常")</f>
        <v>正常</v>
      </c>
      <c r="Q6">
        <v>165000000</v>
      </c>
      <c r="R6" t="s">
        <v>20</v>
      </c>
      <c r="S6" s="1">
        <v>45664</v>
      </c>
      <c r="T6" s="1" t="str">
        <f>IF(ISNUMBER(表1[[#This Row],[Last Seen]]),"日期正确","需要清洗")</f>
        <v>日期正确</v>
      </c>
      <c r="U6">
        <v>78</v>
      </c>
      <c r="V6" s="1" t="str">
        <f>IF(OR(表1[[#This Row],[Keyword Difficulty]]&lt;0,表1[[#This Row],[Keyword Difficulty]]&gt;100),"异常","正常")</f>
        <v>正常</v>
      </c>
    </row>
    <row r="7" spans="1:22" x14ac:dyDescent="0.2">
      <c r="A7" t="s">
        <v>25</v>
      </c>
      <c r="B7" t="s">
        <v>26</v>
      </c>
      <c r="C7" s="1" t="str">
        <f>LOWER(CLEAN(TRIM(表1[[#This Row],[Keyword]])))</f>
        <v>itil certification</v>
      </c>
      <c r="D7" s="1" t="str">
        <f>IF(COUNTIF(表1[Keyword_Clean],表1[[#This Row],[Keyword_Clean]])&gt;1,"唯一","重复")</f>
        <v>唯一</v>
      </c>
      <c r="E7">
        <v>1</v>
      </c>
      <c r="F7" t="str">
        <f>IF(OR(表1[[#This Row],[Position]]="",表1[[#This Row],[Position]]&lt;=0),"异常/空","正常")</f>
        <v>正常</v>
      </c>
      <c r="G7">
        <v>1</v>
      </c>
      <c r="H7">
        <v>14800</v>
      </c>
      <c r="I7">
        <v>2.33</v>
      </c>
      <c r="J7">
        <v>695</v>
      </c>
      <c r="K7">
        <v>3.72</v>
      </c>
      <c r="L7" t="str">
        <f>IF(OR(表1[[#This Row],[Traffic (%)]]&gt;=0,表1[[#This Row],[Traffic (%)]]&lt;=100),"正常","异常")</f>
        <v>正常</v>
      </c>
      <c r="M7">
        <v>1619</v>
      </c>
      <c r="N7">
        <v>2.4900000000000002</v>
      </c>
      <c r="O7">
        <v>0.49</v>
      </c>
      <c r="P7" t="str">
        <f>IF(OR(表1[[#This Row],[Competition]]&lt;0,表1[[#This Row],[Competition]]&gt;1),"异常","正常")</f>
        <v>正常</v>
      </c>
      <c r="Q7">
        <v>13700000</v>
      </c>
      <c r="R7" t="s">
        <v>27</v>
      </c>
      <c r="S7" s="1">
        <v>45683</v>
      </c>
      <c r="T7" s="1" t="str">
        <f>IF(ISNUMBER(表1[[#This Row],[Last Seen]]),"日期正确","需要清洗")</f>
        <v>日期正确</v>
      </c>
      <c r="U7">
        <v>55</v>
      </c>
      <c r="V7" s="1" t="str">
        <f>IF(OR(表1[[#This Row],[Keyword Difficulty]]&lt;0,表1[[#This Row],[Keyword Difficulty]]&gt;100),"异常","正常")</f>
        <v>正常</v>
      </c>
    </row>
    <row r="8" spans="1:22" x14ac:dyDescent="0.2">
      <c r="A8" t="s">
        <v>15</v>
      </c>
      <c r="B8" t="s">
        <v>16</v>
      </c>
      <c r="C8" s="1" t="str">
        <f>LOWER(CLEAN(TRIM(表1[[#This Row],[Keyword]])))</f>
        <v>pmp certification</v>
      </c>
      <c r="D8" s="1" t="str">
        <f>IF(COUNTIF(表1[Keyword_Clean],表1[[#This Row],[Keyword_Clean]])&gt;1,"唯一","重复")</f>
        <v>唯一</v>
      </c>
      <c r="E8">
        <v>4</v>
      </c>
      <c r="F8" t="str">
        <f>IF(OR(表1[[#This Row],[Position]]="",表1[[#This Row],[Position]]&lt;=0),"异常/空","正常")</f>
        <v>正常</v>
      </c>
      <c r="G8">
        <v>4</v>
      </c>
      <c r="H8">
        <v>90500</v>
      </c>
      <c r="I8">
        <v>3.76</v>
      </c>
      <c r="J8">
        <v>633</v>
      </c>
      <c r="K8">
        <v>3.39</v>
      </c>
      <c r="L8" t="str">
        <f>IF(OR(表1[[#This Row],[Traffic (%)]]&gt;=0,表1[[#This Row],[Traffic (%)]]&lt;=100),"正常","异常")</f>
        <v>正常</v>
      </c>
      <c r="M8">
        <v>2380</v>
      </c>
      <c r="N8">
        <v>3.67</v>
      </c>
      <c r="O8">
        <v>0.6</v>
      </c>
      <c r="P8" t="str">
        <f>IF(OR(表1[[#This Row],[Competition]]&lt;0,表1[[#This Row],[Competition]]&gt;1),"异常","正常")</f>
        <v>正常</v>
      </c>
      <c r="Q8">
        <v>176000000</v>
      </c>
      <c r="R8" t="s">
        <v>17</v>
      </c>
      <c r="S8" s="1">
        <v>45659</v>
      </c>
      <c r="T8" s="1" t="str">
        <f>IF(ISNUMBER(表1[[#This Row],[Last Seen]]),"日期正确","需要清洗")</f>
        <v>日期正确</v>
      </c>
      <c r="U8">
        <v>82</v>
      </c>
      <c r="V8" s="1" t="str">
        <f>IF(OR(表1[[#This Row],[Keyword Difficulty]]&lt;0,表1[[#This Row],[Keyword Difficulty]]&gt;100),"异常","正常")</f>
        <v>正常</v>
      </c>
    </row>
    <row r="9" spans="1:22" x14ac:dyDescent="0.2">
      <c r="A9" t="s">
        <v>21</v>
      </c>
      <c r="B9" t="s">
        <v>28</v>
      </c>
      <c r="C9" s="1" t="str">
        <f>LOWER(CLEAN(TRIM(表1[[#This Row],[Keyword]])))</f>
        <v>certified scrum master certification</v>
      </c>
      <c r="D9" s="1" t="str">
        <f>IF(COUNTIF(表1[Keyword_Clean],表1[[#This Row],[Keyword_Clean]])&gt;1,"唯一","重复")</f>
        <v>唯一</v>
      </c>
      <c r="E9">
        <v>1</v>
      </c>
      <c r="F9" t="str">
        <f>IF(OR(表1[[#This Row],[Position]]="",表1[[#This Row],[Position]]&lt;=0),"异常/空","正常")</f>
        <v>正常</v>
      </c>
      <c r="G9">
        <v>1</v>
      </c>
      <c r="H9">
        <v>9900</v>
      </c>
      <c r="I9">
        <v>3.21</v>
      </c>
      <c r="J9">
        <v>465</v>
      </c>
      <c r="K9">
        <v>2.4900000000000002</v>
      </c>
      <c r="L9" t="str">
        <f>IF(OR(表1[[#This Row],[Traffic (%)]]&gt;=0,表1[[#This Row],[Traffic (%)]]&lt;=100),"正常","异常")</f>
        <v>正常</v>
      </c>
      <c r="M9">
        <v>1492</v>
      </c>
      <c r="N9">
        <v>2.2999999999999998</v>
      </c>
      <c r="O9">
        <v>0.64</v>
      </c>
      <c r="P9" t="str">
        <f>IF(OR(表1[[#This Row],[Competition]]&lt;0,表1[[#This Row],[Competition]]&gt;1),"异常","正常")</f>
        <v>正常</v>
      </c>
      <c r="Q9">
        <v>44200000</v>
      </c>
      <c r="R9" t="s">
        <v>29</v>
      </c>
      <c r="S9" s="1">
        <v>45674</v>
      </c>
      <c r="T9" s="1" t="str">
        <f>IF(ISNUMBER(表1[[#This Row],[Last Seen]]),"日期正确","需要清洗")</f>
        <v>日期正确</v>
      </c>
      <c r="U9">
        <v>50</v>
      </c>
      <c r="V9" s="1" t="str">
        <f>IF(OR(表1[[#This Row],[Keyword Difficulty]]&lt;0,表1[[#This Row],[Keyword Difficulty]]&gt;100),"异常","正常")</f>
        <v>正常</v>
      </c>
    </row>
    <row r="10" spans="1:22" x14ac:dyDescent="0.2">
      <c r="A10" t="s">
        <v>442</v>
      </c>
      <c r="B10" t="s">
        <v>30</v>
      </c>
      <c r="C10" s="1" t="str">
        <f>LOWER(CLEAN(TRIM(表1[[#This Row],[Keyword]])))</f>
        <v>csm certification</v>
      </c>
      <c r="D10" s="1" t="str">
        <f>IF(COUNTIF(表1[Keyword_Clean],表1[[#This Row],[Keyword_Clean]])&gt;1,"唯一","重复")</f>
        <v>重复</v>
      </c>
      <c r="E10">
        <v>1</v>
      </c>
      <c r="F10" t="str">
        <f>IF(OR(表1[[#This Row],[Position]]="",表1[[#This Row],[Position]]&lt;=0),"异常/空","正常")</f>
        <v>正常</v>
      </c>
      <c r="G10">
        <v>1</v>
      </c>
      <c r="H10">
        <v>9900</v>
      </c>
      <c r="I10">
        <v>4.5199999999999996</v>
      </c>
      <c r="J10">
        <v>465</v>
      </c>
      <c r="K10">
        <v>2.4900000000000002</v>
      </c>
      <c r="L10" t="str">
        <f>IF(OR(表1[[#This Row],[Traffic (%)]]&gt;=0,表1[[#This Row],[Traffic (%)]]&lt;=100),"正常","异常")</f>
        <v>正常</v>
      </c>
      <c r="M10">
        <v>2101</v>
      </c>
      <c r="N10">
        <v>3.24</v>
      </c>
      <c r="O10">
        <v>0.43</v>
      </c>
      <c r="P10" t="str">
        <f>IF(OR(表1[[#This Row],[Competition]]&lt;0,表1[[#This Row],[Competition]]&gt;1),"异常","正常")</f>
        <v>正常</v>
      </c>
      <c r="Q10">
        <v>51800000</v>
      </c>
      <c r="R10" t="s">
        <v>31</v>
      </c>
      <c r="S10" s="1">
        <v>45654</v>
      </c>
      <c r="T10" s="1" t="str">
        <f>IF(ISNUMBER(表1[[#This Row],[Last Seen]]),"日期正确","需要清洗")</f>
        <v>日期正确</v>
      </c>
      <c r="U10">
        <v>57</v>
      </c>
      <c r="V10" s="1" t="str">
        <f>IF(OR(表1[[#This Row],[Keyword Difficulty]]&lt;0,表1[[#This Row],[Keyword Difficulty]]&gt;100),"异常","正常")</f>
        <v>正常</v>
      </c>
    </row>
    <row r="11" spans="1:22" x14ac:dyDescent="0.2">
      <c r="A11" t="s">
        <v>32</v>
      </c>
      <c r="B11" t="s">
        <v>16</v>
      </c>
      <c r="C11" s="1" t="str">
        <f>LOWER(CLEAN(TRIM(表1[[#This Row],[Keyword]])))</f>
        <v>pmp certification</v>
      </c>
      <c r="D11" s="1" t="str">
        <f>IF(COUNTIF(表1[Keyword_Clean],表1[[#This Row],[Keyword_Clean]])&gt;1,"唯一","重复")</f>
        <v>唯一</v>
      </c>
      <c r="E11">
        <v>6</v>
      </c>
      <c r="F11" t="str">
        <f>IF(OR(表1[[#This Row],[Position]]="",表1[[#This Row],[Position]]&lt;=0),"异常/空","正常")</f>
        <v>正常</v>
      </c>
      <c r="G11">
        <v>0</v>
      </c>
      <c r="H11">
        <v>90500</v>
      </c>
      <c r="I11">
        <v>3.82</v>
      </c>
      <c r="J11">
        <v>452</v>
      </c>
      <c r="K11">
        <v>2.42</v>
      </c>
      <c r="L11" t="str">
        <f>IF(OR(表1[[#This Row],[Traffic (%)]]&gt;=0,表1[[#This Row],[Traffic (%)]]&lt;=100),"正常","异常")</f>
        <v>正常</v>
      </c>
      <c r="M11">
        <v>1726</v>
      </c>
      <c r="N11">
        <v>2.66</v>
      </c>
      <c r="O11">
        <v>0.65</v>
      </c>
      <c r="P11" t="str">
        <f>IF(OR(表1[[#This Row],[Competition]]&lt;0,表1[[#This Row],[Competition]]&gt;1),"异常","正常")</f>
        <v>正常</v>
      </c>
      <c r="Q11">
        <v>155000000</v>
      </c>
      <c r="R11" t="s">
        <v>20</v>
      </c>
      <c r="S11" s="1">
        <v>45683</v>
      </c>
      <c r="T11" s="1" t="str">
        <f>IF(ISNUMBER(表1[[#This Row],[Last Seen]]),"日期正确","需要清洗")</f>
        <v>日期正确</v>
      </c>
      <c r="U11">
        <v>70</v>
      </c>
      <c r="V11" s="1" t="str">
        <f>IF(OR(表1[[#This Row],[Keyword Difficulty]]&lt;0,表1[[#This Row],[Keyword Difficulty]]&gt;100),"异常","正常")</f>
        <v>正常</v>
      </c>
    </row>
    <row r="12" spans="1:22" x14ac:dyDescent="0.2">
      <c r="A12" t="s">
        <v>33</v>
      </c>
      <c r="B12" t="s">
        <v>34</v>
      </c>
      <c r="C12" s="1" t="str">
        <f>LOWER(CLEAN(TRIM(表1[[#This Row],[Keyword]])))</f>
        <v>simplilearn</v>
      </c>
      <c r="D12" s="1" t="str">
        <f>IF(COUNTIF(表1[Keyword_Clean],表1[[#This Row],[Keyword_Clean]])&gt;1,"唯一","重复")</f>
        <v>唯一</v>
      </c>
      <c r="E12">
        <v>1</v>
      </c>
      <c r="F12" t="str">
        <f>IF(OR(表1[[#This Row],[Position]]="",表1[[#This Row],[Position]]&lt;=0),"异常/空","正常")</f>
        <v>正常</v>
      </c>
      <c r="G12">
        <v>1</v>
      </c>
      <c r="H12">
        <v>8100</v>
      </c>
      <c r="I12">
        <v>2.31</v>
      </c>
      <c r="J12">
        <v>380</v>
      </c>
      <c r="K12">
        <v>2.0299999999999998</v>
      </c>
      <c r="L12" t="str">
        <f>IF(OR(表1[[#This Row],[Traffic (%)]]&gt;=0,表1[[#This Row],[Traffic (%)]]&lt;=100),"正常","异常")</f>
        <v>正常</v>
      </c>
      <c r="M12">
        <v>877</v>
      </c>
      <c r="N12">
        <v>1.35</v>
      </c>
      <c r="O12">
        <v>0.14000000000000001</v>
      </c>
      <c r="P12" t="str">
        <f>IF(OR(表1[[#This Row],[Competition]]&lt;0,表1[[#This Row],[Competition]]&gt;1),"异常","正常")</f>
        <v>正常</v>
      </c>
      <c r="Q12">
        <v>4130000</v>
      </c>
      <c r="R12" t="s">
        <v>35</v>
      </c>
      <c r="S12" s="1">
        <v>45679</v>
      </c>
      <c r="T12" s="1" t="str">
        <f>IF(ISNUMBER(表1[[#This Row],[Last Seen]]),"日期正确","需要清洗")</f>
        <v>日期正确</v>
      </c>
      <c r="U12">
        <v>52</v>
      </c>
      <c r="V12" s="1" t="str">
        <f>IF(OR(表1[[#This Row],[Keyword Difficulty]]&lt;0,表1[[#This Row],[Keyword Difficulty]]&gt;100),"异常","正常")</f>
        <v>正常</v>
      </c>
    </row>
    <row r="13" spans="1:22" x14ac:dyDescent="0.2">
      <c r="A13" t="s">
        <v>36</v>
      </c>
      <c r="B13" t="s">
        <v>34</v>
      </c>
      <c r="C13" s="1" t="str">
        <f>LOWER(CLEAN(TRIM(表1[[#This Row],[Keyword]])))</f>
        <v>simplilearn</v>
      </c>
      <c r="D13" s="1" t="str">
        <f>IF(COUNTIF(表1[Keyword_Clean],表1[[#This Row],[Keyword_Clean]])&gt;1,"唯一","重复")</f>
        <v>唯一</v>
      </c>
      <c r="E13">
        <v>1</v>
      </c>
      <c r="F13" t="str">
        <f>IF(OR(表1[[#This Row],[Position]]="",表1[[#This Row],[Position]]&lt;=0),"异常/空","正常")</f>
        <v>正常</v>
      </c>
      <c r="G13">
        <v>1</v>
      </c>
      <c r="H13">
        <v>8100</v>
      </c>
      <c r="I13">
        <v>2.31</v>
      </c>
      <c r="J13">
        <v>380</v>
      </c>
      <c r="K13">
        <v>2.0299999999999998</v>
      </c>
      <c r="L13" t="str">
        <f>IF(OR(表1[[#This Row],[Traffic (%)]]&gt;=0,表1[[#This Row],[Traffic (%)]]&lt;=100),"正常","异常")</f>
        <v>正常</v>
      </c>
      <c r="M13">
        <v>877</v>
      </c>
      <c r="N13">
        <v>1.35</v>
      </c>
      <c r="O13">
        <v>0.14000000000000001</v>
      </c>
      <c r="P13" t="str">
        <f>IF(OR(表1[[#This Row],[Competition]]&lt;0,表1[[#This Row],[Competition]]&gt;1),"异常","正常")</f>
        <v>正常</v>
      </c>
      <c r="Q13">
        <v>4880000</v>
      </c>
      <c r="R13" t="s">
        <v>35</v>
      </c>
      <c r="S13" s="1">
        <v>45682</v>
      </c>
      <c r="T13" s="1" t="str">
        <f>IF(ISNUMBER(表1[[#This Row],[Last Seen]]),"日期正确","需要清洗")</f>
        <v>日期正确</v>
      </c>
      <c r="U13">
        <v>48</v>
      </c>
      <c r="V13" s="1" t="str">
        <f>IF(OR(表1[[#This Row],[Keyword Difficulty]]&lt;0,表1[[#This Row],[Keyword Difficulty]]&gt;100),"异常","正常")</f>
        <v>正常</v>
      </c>
    </row>
    <row r="14" spans="1:22" x14ac:dyDescent="0.2">
      <c r="A14" t="s">
        <v>37</v>
      </c>
      <c r="B14" t="s">
        <v>38</v>
      </c>
      <c r="C14" s="1" t="str">
        <f>LOWER(CLEAN(TRIM(表1[[#This Row],[Keyword]])))</f>
        <v>pmp certification requirements</v>
      </c>
      <c r="D14" s="1" t="str">
        <f>IF(COUNTIF(表1[Keyword_Clean],表1[[#This Row],[Keyword_Clean]])&gt;1,"唯一","重复")</f>
        <v>唯一</v>
      </c>
      <c r="E14">
        <v>1</v>
      </c>
      <c r="F14" t="str">
        <f>IF(OR(表1[[#This Row],[Position]]="",表1[[#This Row],[Position]]&lt;=0),"异常/空","正常")</f>
        <v>正常</v>
      </c>
      <c r="G14">
        <v>0</v>
      </c>
      <c r="H14">
        <v>6600</v>
      </c>
      <c r="I14">
        <v>2.37</v>
      </c>
      <c r="J14">
        <v>310</v>
      </c>
      <c r="K14">
        <v>1.66</v>
      </c>
      <c r="L14" t="str">
        <f>IF(OR(表1[[#This Row],[Traffic (%)]]&gt;=0,表1[[#This Row],[Traffic (%)]]&lt;=100),"正常","异常")</f>
        <v>正常</v>
      </c>
      <c r="M14">
        <v>734</v>
      </c>
      <c r="N14">
        <v>1.1299999999999999</v>
      </c>
      <c r="O14">
        <v>0.59</v>
      </c>
      <c r="P14" t="str">
        <f>IF(OR(表1[[#This Row],[Competition]]&lt;0,表1[[#This Row],[Competition]]&gt;1),"异常","正常")</f>
        <v>正常</v>
      </c>
      <c r="Q14">
        <v>162000000</v>
      </c>
      <c r="R14" t="s">
        <v>39</v>
      </c>
      <c r="S14" s="1">
        <v>45683</v>
      </c>
      <c r="T14" s="1" t="str">
        <f>IF(ISNUMBER(表1[[#This Row],[Last Seen]]),"日期正确","需要清洗")</f>
        <v>日期正确</v>
      </c>
      <c r="U14">
        <v>54</v>
      </c>
      <c r="V14" s="1" t="str">
        <f>IF(OR(表1[[#This Row],[Keyword Difficulty]]&lt;0,表1[[#This Row],[Keyword Difficulty]]&gt;100),"异常","正常")</f>
        <v>正常</v>
      </c>
    </row>
    <row r="15" spans="1:22" x14ac:dyDescent="0.2">
      <c r="A15" t="s">
        <v>40</v>
      </c>
      <c r="B15" t="s">
        <v>41</v>
      </c>
      <c r="C15" s="1" t="str">
        <f>LOWER(CLEAN(TRIM(表1[[#This Row],[Keyword]])))</f>
        <v>certified scrum master</v>
      </c>
      <c r="D15" s="1" t="str">
        <f>IF(COUNTIF(表1[Keyword_Clean],表1[[#This Row],[Keyword_Clean]])&gt;1,"唯一","重复")</f>
        <v>唯一</v>
      </c>
      <c r="E15">
        <v>1</v>
      </c>
      <c r="F15" t="str">
        <f>IF(OR(表1[[#This Row],[Position]]="",表1[[#This Row],[Position]]&lt;=0),"异常/空","正常")</f>
        <v>正常</v>
      </c>
      <c r="G15">
        <v>1</v>
      </c>
      <c r="H15">
        <v>5400</v>
      </c>
      <c r="I15">
        <v>2.5299999999999998</v>
      </c>
      <c r="J15">
        <v>253</v>
      </c>
      <c r="K15">
        <v>1.35</v>
      </c>
      <c r="L15" t="str">
        <f>IF(OR(表1[[#This Row],[Traffic (%)]]&gt;=0,表1[[#This Row],[Traffic (%)]]&lt;=100),"正常","异常")</f>
        <v>正常</v>
      </c>
      <c r="M15">
        <v>640</v>
      </c>
      <c r="N15">
        <v>0.98</v>
      </c>
      <c r="O15">
        <v>0.49</v>
      </c>
      <c r="P15" t="str">
        <f>IF(OR(表1[[#This Row],[Competition]]&lt;0,表1[[#This Row],[Competition]]&gt;1),"异常","正常")</f>
        <v>正常</v>
      </c>
      <c r="Q15">
        <v>40200000</v>
      </c>
      <c r="R15" t="s">
        <v>42</v>
      </c>
      <c r="S15" s="1">
        <v>45664</v>
      </c>
      <c r="T15" s="1" t="str">
        <f>IF(ISNUMBER(表1[[#This Row],[Last Seen]]),"日期正确","需要清洗")</f>
        <v>日期正确</v>
      </c>
      <c r="U15">
        <v>73</v>
      </c>
      <c r="V15" s="1" t="str">
        <f>IF(OR(表1[[#This Row],[Keyword Difficulty]]&lt;0,表1[[#This Row],[Keyword Difficulty]]&gt;100),"异常","正常")</f>
        <v>正常</v>
      </c>
    </row>
    <row r="16" spans="1:22" x14ac:dyDescent="0.2">
      <c r="A16" t="s">
        <v>43</v>
      </c>
      <c r="B16" t="s">
        <v>44</v>
      </c>
      <c r="C16" s="1" t="str">
        <f>LOWER(CLEAN(TRIM(表1[[#This Row],[Keyword]])))</f>
        <v>pmi certification</v>
      </c>
      <c r="D16" s="1" t="str">
        <f>IF(COUNTIF(表1[Keyword_Clean],表1[[#This Row],[Keyword_Clean]])&gt;1,"唯一","重复")</f>
        <v>重复</v>
      </c>
      <c r="E16">
        <v>1</v>
      </c>
      <c r="F16" t="str">
        <f>IF(OR(表1[[#This Row],[Position]]="",表1[[#This Row],[Position]]&lt;=0),"异常/空","正常")</f>
        <v>正常</v>
      </c>
      <c r="G16">
        <v>1</v>
      </c>
      <c r="H16">
        <v>5400</v>
      </c>
      <c r="I16">
        <v>3.35</v>
      </c>
      <c r="J16">
        <v>253</v>
      </c>
      <c r="K16">
        <v>1.35</v>
      </c>
      <c r="L16" t="str">
        <f>IF(OR(表1[[#This Row],[Traffic (%)]]&gt;=0,表1[[#This Row],[Traffic (%)]]&lt;=100),"正常","异常")</f>
        <v>正常</v>
      </c>
      <c r="M16">
        <v>847</v>
      </c>
      <c r="N16">
        <v>1.3</v>
      </c>
      <c r="O16">
        <v>0.59</v>
      </c>
      <c r="P16" t="str">
        <f>IF(OR(表1[[#This Row],[Competition]]&lt;0,表1[[#This Row],[Competition]]&gt;1),"异常","正常")</f>
        <v>正常</v>
      </c>
      <c r="Q16">
        <v>48200000</v>
      </c>
      <c r="R16" t="s">
        <v>45</v>
      </c>
      <c r="S16" s="1">
        <v>45679</v>
      </c>
      <c r="T16" s="1" t="str">
        <f>IF(ISNUMBER(表1[[#This Row],[Last Seen]]),"日期正确","需要清洗")</f>
        <v>日期正确</v>
      </c>
      <c r="U16">
        <v>45</v>
      </c>
      <c r="V16" s="1" t="str">
        <f>IF(OR(表1[[#This Row],[Keyword Difficulty]]&lt;0,表1[[#This Row],[Keyword Difficulty]]&gt;100),"异常","正常")</f>
        <v>正常</v>
      </c>
    </row>
    <row r="17" spans="1:22" x14ac:dyDescent="0.2">
      <c r="A17" t="s">
        <v>46</v>
      </c>
      <c r="B17" t="s">
        <v>47</v>
      </c>
      <c r="C17" s="1" t="str">
        <f>LOWER(CLEAN(TRIM(表1[[#This Row],[Keyword]])))</f>
        <v>project management certification</v>
      </c>
      <c r="D17" s="1" t="str">
        <f>IF(COUNTIF(表1[Keyword_Clean],表1[[#This Row],[Keyword_Clean]])&gt;1,"唯一","重复")</f>
        <v>重复</v>
      </c>
      <c r="E17">
        <v>5</v>
      </c>
      <c r="F17" t="str">
        <f>IF(OR(表1[[#This Row],[Position]]="",表1[[#This Row],[Position]]&lt;=0),"异常/空","正常")</f>
        <v>正常</v>
      </c>
      <c r="G17">
        <v>5</v>
      </c>
      <c r="H17">
        <v>49500</v>
      </c>
      <c r="I17">
        <v>6.49</v>
      </c>
      <c r="J17">
        <v>247</v>
      </c>
      <c r="K17">
        <v>1.32</v>
      </c>
      <c r="L17" t="str">
        <f>IF(OR(表1[[#This Row],[Traffic (%)]]&gt;=0,表1[[#This Row],[Traffic (%)]]&lt;=100),"正常","异常")</f>
        <v>正常</v>
      </c>
      <c r="M17">
        <v>1603</v>
      </c>
      <c r="N17">
        <v>2.4700000000000002</v>
      </c>
      <c r="O17">
        <v>0.68</v>
      </c>
      <c r="P17" t="str">
        <f>IF(OR(表1[[#This Row],[Competition]]&lt;0,表1[[#This Row],[Competition]]&gt;1),"异常","正常")</f>
        <v>正常</v>
      </c>
      <c r="Q17">
        <v>978000000</v>
      </c>
      <c r="R17" t="s">
        <v>48</v>
      </c>
      <c r="S17" s="1">
        <v>45657</v>
      </c>
      <c r="T17" s="1" t="str">
        <f>IF(ISNUMBER(表1[[#This Row],[Last Seen]]),"日期正确","需要清洗")</f>
        <v>日期正确</v>
      </c>
      <c r="U17">
        <v>76</v>
      </c>
      <c r="V17" s="1" t="str">
        <f>IF(OR(表1[[#This Row],[Keyword Difficulty]]&lt;0,表1[[#This Row],[Keyword Difficulty]]&gt;100),"异常","正常")</f>
        <v>正常</v>
      </c>
    </row>
    <row r="18" spans="1:22" x14ac:dyDescent="0.2">
      <c r="A18" t="s">
        <v>21</v>
      </c>
      <c r="B18" t="s">
        <v>22</v>
      </c>
      <c r="C18" s="1" t="str">
        <f>LOWER(CLEAN(TRIM(表1[[#This Row],[Keyword]])))</f>
        <v>scrum master certification</v>
      </c>
      <c r="D18" s="1" t="str">
        <f>IF(COUNTIF(表1[Keyword_Clean],表1[[#This Row],[Keyword_Clean]])&gt;1,"唯一","重复")</f>
        <v>唯一</v>
      </c>
      <c r="E18">
        <v>2</v>
      </c>
      <c r="F18" t="str">
        <f>IF(OR(表1[[#This Row],[Position]]="",表1[[#This Row],[Position]]&lt;=0),"异常/空","正常")</f>
        <v>正常</v>
      </c>
      <c r="G18">
        <v>2</v>
      </c>
      <c r="H18">
        <v>18100</v>
      </c>
      <c r="I18">
        <v>3.21</v>
      </c>
      <c r="J18">
        <v>235</v>
      </c>
      <c r="K18">
        <v>1.25</v>
      </c>
      <c r="L18" t="str">
        <f>IF(OR(表1[[#This Row],[Traffic (%)]]&gt;=0,表1[[#This Row],[Traffic (%)]]&lt;=100),"正常","异常")</f>
        <v>正常</v>
      </c>
      <c r="M18">
        <v>754</v>
      </c>
      <c r="N18">
        <v>1.1599999999999999</v>
      </c>
      <c r="O18">
        <v>0.64</v>
      </c>
      <c r="P18" t="str">
        <f>IF(OR(表1[[#This Row],[Competition]]&lt;0,表1[[#This Row],[Competition]]&gt;1),"异常","正常")</f>
        <v>正常</v>
      </c>
      <c r="Q18">
        <v>16000000</v>
      </c>
      <c r="R18" t="s">
        <v>23</v>
      </c>
      <c r="S18" s="1">
        <v>45664</v>
      </c>
      <c r="T18" s="1" t="str">
        <f>IF(ISNUMBER(表1[[#This Row],[Last Seen]]),"日期正确","需要清洗")</f>
        <v>日期正确</v>
      </c>
      <c r="U18">
        <v>70</v>
      </c>
      <c r="V18" s="1" t="str">
        <f>IF(OR(表1[[#This Row],[Keyword Difficulty]]&lt;0,表1[[#This Row],[Keyword Difficulty]]&gt;100),"异常","正常")</f>
        <v>正常</v>
      </c>
    </row>
    <row r="19" spans="1:22" x14ac:dyDescent="0.2">
      <c r="A19" t="s">
        <v>49</v>
      </c>
      <c r="B19" t="s">
        <v>22</v>
      </c>
      <c r="C19" s="1" t="str">
        <f>LOWER(CLEAN(TRIM(表1[[#This Row],[Keyword]])))</f>
        <v>scrum master certification</v>
      </c>
      <c r="D19" s="1" t="str">
        <f>IF(COUNTIF(表1[Keyword_Clean],表1[[#This Row],[Keyword_Clean]])&gt;1,"唯一","重复")</f>
        <v>唯一</v>
      </c>
      <c r="E19">
        <v>3</v>
      </c>
      <c r="F19" t="str">
        <f>IF(OR(表1[[#This Row],[Position]]="",表1[[#This Row],[Position]]&lt;=0),"异常/空","正常")</f>
        <v>正常</v>
      </c>
      <c r="G19">
        <v>3</v>
      </c>
      <c r="H19">
        <v>18100</v>
      </c>
      <c r="I19">
        <v>3.21</v>
      </c>
      <c r="J19">
        <v>162</v>
      </c>
      <c r="K19">
        <v>0.86</v>
      </c>
      <c r="L19" t="str">
        <f>IF(OR(表1[[#This Row],[Traffic (%)]]&gt;=0,表1[[#This Row],[Traffic (%)]]&lt;=100),"正常","异常")</f>
        <v>正常</v>
      </c>
      <c r="M19">
        <v>520</v>
      </c>
      <c r="N19">
        <v>0.8</v>
      </c>
      <c r="O19">
        <v>0.64</v>
      </c>
      <c r="P19" t="str">
        <f>IF(OR(表1[[#This Row],[Competition]]&lt;0,表1[[#This Row],[Competition]]&gt;1),"异常","正常")</f>
        <v>正常</v>
      </c>
      <c r="Q19">
        <v>31900000</v>
      </c>
      <c r="R19" t="s">
        <v>23</v>
      </c>
      <c r="S19" s="1">
        <v>45661</v>
      </c>
      <c r="T19" s="1" t="str">
        <f>IF(ISNUMBER(表1[[#This Row],[Last Seen]]),"日期正确","需要清洗")</f>
        <v>日期正确</v>
      </c>
      <c r="U19">
        <v>74</v>
      </c>
      <c r="V19" s="1" t="str">
        <f>IF(OR(表1[[#This Row],[Keyword Difficulty]]&lt;0,表1[[#This Row],[Keyword Difficulty]]&gt;100),"异常","正常")</f>
        <v>正常</v>
      </c>
    </row>
    <row r="20" spans="1:22" x14ac:dyDescent="0.2">
      <c r="A20" t="s">
        <v>50</v>
      </c>
      <c r="B20" t="s">
        <v>51</v>
      </c>
      <c r="C20" s="1" t="str">
        <f>LOWER(CLEAN(TRIM(表1[[#This Row],[Keyword]])))</f>
        <v>project management professional certification</v>
      </c>
      <c r="D20" s="1" t="str">
        <f>IF(COUNTIF(表1[Keyword_Clean],表1[[#This Row],[Keyword_Clean]])&gt;1,"唯一","重复")</f>
        <v>重复</v>
      </c>
      <c r="E20">
        <v>4</v>
      </c>
      <c r="F20" t="str">
        <f>IF(OR(表1[[#This Row],[Position]]="",表1[[#This Row],[Position]]&lt;=0),"异常/空","正常")</f>
        <v>正常</v>
      </c>
      <c r="G20">
        <v>4</v>
      </c>
      <c r="H20">
        <v>18100</v>
      </c>
      <c r="I20">
        <v>3.76</v>
      </c>
      <c r="J20">
        <v>126</v>
      </c>
      <c r="K20">
        <v>0.67</v>
      </c>
      <c r="L20" t="str">
        <f>IF(OR(表1[[#This Row],[Traffic (%)]]&gt;=0,表1[[#This Row],[Traffic (%)]]&lt;=100),"正常","异常")</f>
        <v>正常</v>
      </c>
      <c r="M20">
        <v>473</v>
      </c>
      <c r="N20">
        <v>0.72</v>
      </c>
      <c r="O20">
        <v>0.6</v>
      </c>
      <c r="P20" t="str">
        <f>IF(OR(表1[[#This Row],[Competition]]&lt;0,表1[[#This Row],[Competition]]&gt;1),"异常","正常")</f>
        <v>正常</v>
      </c>
      <c r="Q20">
        <v>931000000</v>
      </c>
      <c r="R20" t="s">
        <v>52</v>
      </c>
      <c r="S20" s="1">
        <v>45657</v>
      </c>
      <c r="T20" s="1" t="str">
        <f>IF(ISNUMBER(表1[[#This Row],[Last Seen]]),"日期正确","需要清洗")</f>
        <v>日期正确</v>
      </c>
      <c r="U20">
        <v>82</v>
      </c>
      <c r="V20" s="1" t="str">
        <f>IF(OR(表1[[#This Row],[Keyword Difficulty]]&lt;0,表1[[#This Row],[Keyword Difficulty]]&gt;100),"异常","正常")</f>
        <v>正常</v>
      </c>
    </row>
    <row r="21" spans="1:22" x14ac:dyDescent="0.2">
      <c r="A21" t="s">
        <v>36</v>
      </c>
      <c r="B21" t="s">
        <v>34</v>
      </c>
      <c r="C21" s="1" t="str">
        <f>LOWER(CLEAN(TRIM(表1[[#This Row],[Keyword]])))</f>
        <v>simplilearn</v>
      </c>
      <c r="D21" s="1" t="str">
        <f>IF(COUNTIF(表1[Keyword_Clean],表1[[#This Row],[Keyword_Clean]])&gt;1,"唯一","重复")</f>
        <v>唯一</v>
      </c>
      <c r="E21">
        <v>2</v>
      </c>
      <c r="F21" t="str">
        <f>IF(OR(表1[[#This Row],[Position]]="",表1[[#This Row],[Position]]&lt;=0),"异常/空","正常")</f>
        <v>正常</v>
      </c>
      <c r="G21">
        <v>2</v>
      </c>
      <c r="H21">
        <v>8100</v>
      </c>
      <c r="I21">
        <v>2.31</v>
      </c>
      <c r="J21">
        <v>105</v>
      </c>
      <c r="K21">
        <v>0.56000000000000005</v>
      </c>
      <c r="L21" t="str">
        <f>IF(OR(表1[[#This Row],[Traffic (%)]]&gt;=0,表1[[#This Row],[Traffic (%)]]&lt;=100),"正常","异常")</f>
        <v>正常</v>
      </c>
      <c r="M21">
        <v>242</v>
      </c>
      <c r="N21">
        <v>0.37</v>
      </c>
      <c r="O21">
        <v>0.14000000000000001</v>
      </c>
      <c r="P21" t="str">
        <f>IF(OR(表1[[#This Row],[Competition]]&lt;0,表1[[#This Row],[Competition]]&gt;1),"异常","正常")</f>
        <v>正常</v>
      </c>
      <c r="Q21">
        <v>4490000</v>
      </c>
      <c r="R21" t="s">
        <v>35</v>
      </c>
      <c r="S21" s="1">
        <v>45669</v>
      </c>
      <c r="T21" s="1" t="str">
        <f>IF(ISNUMBER(表1[[#This Row],[Last Seen]]),"日期正确","需要清洗")</f>
        <v>日期正确</v>
      </c>
      <c r="U21">
        <v>68</v>
      </c>
      <c r="V21" s="1" t="str">
        <f>IF(OR(表1[[#This Row],[Keyword Difficulty]]&lt;0,表1[[#This Row],[Keyword Difficulty]]&gt;100),"异常","正常")</f>
        <v>正常</v>
      </c>
    </row>
    <row r="22" spans="1:22" x14ac:dyDescent="0.2">
      <c r="A22" t="s">
        <v>53</v>
      </c>
      <c r="B22" t="s">
        <v>54</v>
      </c>
      <c r="C22" s="1" t="str">
        <f>LOWER(CLEAN(TRIM(表1[[#This Row],[Keyword]])))</f>
        <v>capm certification</v>
      </c>
      <c r="D22" s="1" t="str">
        <f>IF(COUNTIF(表1[Keyword_Clean],表1[[#This Row],[Keyword_Clean]])&gt;1,"唯一","重复")</f>
        <v>重复</v>
      </c>
      <c r="E22">
        <v>4</v>
      </c>
      <c r="F22" t="str">
        <f>IF(OR(表1[[#This Row],[Position]]="",表1[[#This Row],[Position]]&lt;=0),"异常/空","正常")</f>
        <v>正常</v>
      </c>
      <c r="G22">
        <v>4</v>
      </c>
      <c r="H22">
        <v>14800</v>
      </c>
      <c r="I22">
        <v>2.72</v>
      </c>
      <c r="J22">
        <v>103</v>
      </c>
      <c r="K22">
        <v>0.55000000000000004</v>
      </c>
      <c r="L22" t="str">
        <f>IF(OR(表1[[#This Row],[Traffic (%)]]&gt;=0,表1[[#This Row],[Traffic (%)]]&lt;=100),"正常","异常")</f>
        <v>正常</v>
      </c>
      <c r="M22">
        <v>280</v>
      </c>
      <c r="N22">
        <v>0.43</v>
      </c>
      <c r="O22">
        <v>0.63</v>
      </c>
      <c r="P22" t="str">
        <f>IF(OR(表1[[#This Row],[Competition]]&lt;0,表1[[#This Row],[Competition]]&gt;1),"异常","正常")</f>
        <v>正常</v>
      </c>
      <c r="Q22">
        <v>5790000</v>
      </c>
      <c r="R22" t="s">
        <v>55</v>
      </c>
      <c r="S22" s="1">
        <v>45682</v>
      </c>
      <c r="T22" s="1" t="str">
        <f>IF(ISNUMBER(表1[[#This Row],[Last Seen]]),"日期正确","需要清洗")</f>
        <v>日期正确</v>
      </c>
      <c r="U22">
        <v>58</v>
      </c>
      <c r="V22" s="1" t="str">
        <f>IF(OR(表1[[#This Row],[Keyword Difficulty]]&lt;0,表1[[#This Row],[Keyword Difficulty]]&gt;100),"异常","正常")</f>
        <v>正常</v>
      </c>
    </row>
    <row r="23" spans="1:22" x14ac:dyDescent="0.2">
      <c r="A23" t="s">
        <v>56</v>
      </c>
      <c r="B23" t="s">
        <v>26</v>
      </c>
      <c r="C23" s="1" t="str">
        <f>LOWER(CLEAN(TRIM(表1[[#This Row],[Keyword]])))</f>
        <v>itil certification</v>
      </c>
      <c r="D23" s="1" t="str">
        <f>IF(COUNTIF(表1[Keyword_Clean],表1[[#This Row],[Keyword_Clean]])&gt;1,"唯一","重复")</f>
        <v>唯一</v>
      </c>
      <c r="E23">
        <v>4</v>
      </c>
      <c r="F23" t="str">
        <f>IF(OR(表1[[#This Row],[Position]]="",表1[[#This Row],[Position]]&lt;=0),"异常/空","正常")</f>
        <v>正常</v>
      </c>
      <c r="G23">
        <v>4</v>
      </c>
      <c r="H23">
        <v>14800</v>
      </c>
      <c r="I23">
        <v>2.33</v>
      </c>
      <c r="J23">
        <v>103</v>
      </c>
      <c r="K23">
        <v>0.55000000000000004</v>
      </c>
      <c r="L23" t="str">
        <f>IF(OR(表1[[#This Row],[Traffic (%)]]&gt;=0,表1[[#This Row],[Traffic (%)]]&lt;=100),"正常","异常")</f>
        <v>正常</v>
      </c>
      <c r="M23">
        <v>239</v>
      </c>
      <c r="N23">
        <v>0.36</v>
      </c>
      <c r="O23">
        <v>0.49</v>
      </c>
      <c r="P23" t="str">
        <f>IF(OR(表1[[#This Row],[Competition]]&lt;0,表1[[#This Row],[Competition]]&gt;1),"异常","正常")</f>
        <v>正常</v>
      </c>
      <c r="Q23">
        <v>13700000</v>
      </c>
      <c r="R23" t="s">
        <v>27</v>
      </c>
      <c r="S23" s="1">
        <v>45683</v>
      </c>
      <c r="T23" s="1" t="str">
        <f>IF(ISNUMBER(表1[[#This Row],[Last Seen]]),"日期正确","需要清洗")</f>
        <v>日期正确</v>
      </c>
      <c r="U23">
        <v>55</v>
      </c>
      <c r="V23" s="1" t="str">
        <f>IF(OR(表1[[#This Row],[Keyword Difficulty]]&lt;0,表1[[#This Row],[Keyword Difficulty]]&gt;100),"异常","正常")</f>
        <v>正常</v>
      </c>
    </row>
    <row r="24" spans="1:22" x14ac:dyDescent="0.2">
      <c r="A24" t="s">
        <v>21</v>
      </c>
      <c r="B24" t="s">
        <v>22</v>
      </c>
      <c r="C24" s="1" t="str">
        <f>LOWER(CLEAN(TRIM(表1[[#This Row],[Keyword]])))</f>
        <v>scrum master certification</v>
      </c>
      <c r="D24" s="1" t="str">
        <f>IF(COUNTIF(表1[Keyword_Clean],表1[[#This Row],[Keyword_Clean]])&gt;1,"唯一","重复")</f>
        <v>唯一</v>
      </c>
      <c r="E24">
        <v>5</v>
      </c>
      <c r="F24" t="str">
        <f>IF(OR(表1[[#This Row],[Position]]="",表1[[#This Row],[Position]]&lt;=0),"异常/空","正常")</f>
        <v>正常</v>
      </c>
      <c r="G24">
        <v>5</v>
      </c>
      <c r="H24">
        <v>18100</v>
      </c>
      <c r="I24">
        <v>3.4</v>
      </c>
      <c r="J24">
        <v>90</v>
      </c>
      <c r="K24">
        <v>0.48</v>
      </c>
      <c r="L24" t="str">
        <f>IF(OR(表1[[#This Row],[Traffic (%)]]&gt;=0,表1[[#This Row],[Traffic (%)]]&lt;=100),"正常","异常")</f>
        <v>正常</v>
      </c>
      <c r="M24">
        <v>306</v>
      </c>
      <c r="N24">
        <v>0.47</v>
      </c>
      <c r="O24">
        <v>0.56000000000000005</v>
      </c>
      <c r="P24" t="str">
        <f>IF(OR(表1[[#This Row],[Competition]]&lt;0,表1[[#This Row],[Competition]]&gt;1),"异常","正常")</f>
        <v>正常</v>
      </c>
      <c r="Q24">
        <v>32700000</v>
      </c>
      <c r="R24" t="s">
        <v>57</v>
      </c>
      <c r="S24" s="1">
        <v>45655</v>
      </c>
      <c r="T24" s="1" t="str">
        <f>IF(ISNUMBER(表1[[#This Row],[Last Seen]]),"日期正确","需要清洗")</f>
        <v>日期正确</v>
      </c>
      <c r="U24">
        <v>74</v>
      </c>
      <c r="V24" s="1" t="str">
        <f>IF(OR(表1[[#This Row],[Keyword Difficulty]]&lt;0,表1[[#This Row],[Keyword Difficulty]]&gt;100),"异常","正常")</f>
        <v>正常</v>
      </c>
    </row>
    <row r="25" spans="1:22" x14ac:dyDescent="0.2">
      <c r="A25" t="s">
        <v>58</v>
      </c>
      <c r="B25" t="s">
        <v>59</v>
      </c>
      <c r="C25" s="1" t="str">
        <f>LOWER(CLEAN(TRIM(表1[[#This Row],[Keyword]])))</f>
        <v>post graduate program in digital marketing simpli learn purdue cost</v>
      </c>
      <c r="D25" s="1" t="str">
        <f>IF(COUNTIF(表1[Keyword_Clean],表1[[#This Row],[Keyword_Clean]])&gt;1,"唯一","重复")</f>
        <v>重复</v>
      </c>
      <c r="E25">
        <v>1</v>
      </c>
      <c r="F25" t="str">
        <f>IF(OR(表1[[#This Row],[Position]]="",表1[[#This Row],[Position]]&lt;=0),"异常/空","正常")</f>
        <v>正常</v>
      </c>
      <c r="G25">
        <v>1</v>
      </c>
      <c r="H25">
        <v>1900</v>
      </c>
      <c r="I25">
        <v>0</v>
      </c>
      <c r="J25">
        <v>89</v>
      </c>
      <c r="K25">
        <v>0.47</v>
      </c>
      <c r="L25" t="str">
        <f>IF(OR(表1[[#This Row],[Traffic (%)]]&gt;=0,表1[[#This Row],[Traffic (%)]]&lt;=100),"正常","异常")</f>
        <v>正常</v>
      </c>
      <c r="M25">
        <v>0</v>
      </c>
      <c r="N25">
        <v>0</v>
      </c>
      <c r="O25">
        <v>0</v>
      </c>
      <c r="P25" t="str">
        <f>IF(OR(表1[[#This Row],[Competition]]&lt;0,表1[[#This Row],[Competition]]&gt;1),"异常","正常")</f>
        <v>正常</v>
      </c>
      <c r="Q25">
        <v>68</v>
      </c>
      <c r="R25" t="s">
        <v>60</v>
      </c>
      <c r="S25" s="1">
        <v>45678</v>
      </c>
      <c r="T25" s="1" t="str">
        <f>IF(ISNUMBER(表1[[#This Row],[Last Seen]]),"日期正确","需要清洗")</f>
        <v>日期正确</v>
      </c>
      <c r="U25">
        <v>30</v>
      </c>
      <c r="V25" s="1" t="str">
        <f>IF(OR(表1[[#This Row],[Keyword Difficulty]]&lt;0,表1[[#This Row],[Keyword Difficulty]]&gt;100),"异常","正常")</f>
        <v>正常</v>
      </c>
    </row>
    <row r="26" spans="1:22" x14ac:dyDescent="0.2">
      <c r="A26" t="s">
        <v>32</v>
      </c>
      <c r="B26" t="s">
        <v>38</v>
      </c>
      <c r="C26" s="1" t="str">
        <f>LOWER(CLEAN(TRIM(表1[[#This Row],[Keyword]])))</f>
        <v>pmp certification requirements</v>
      </c>
      <c r="D26" s="1" t="str">
        <f>IF(COUNTIF(表1[Keyword_Clean],表1[[#This Row],[Keyword_Clean]])&gt;1,"唯一","重复")</f>
        <v>唯一</v>
      </c>
      <c r="E26">
        <v>2</v>
      </c>
      <c r="F26" t="str">
        <f>IF(OR(表1[[#This Row],[Position]]="",表1[[#This Row],[Position]]&lt;=0),"异常/空","正常")</f>
        <v>正常</v>
      </c>
      <c r="G26">
        <v>2</v>
      </c>
      <c r="H26">
        <v>6600</v>
      </c>
      <c r="I26">
        <v>2.37</v>
      </c>
      <c r="J26">
        <v>85</v>
      </c>
      <c r="K26">
        <v>0.45</v>
      </c>
      <c r="L26" t="str">
        <f>IF(OR(表1[[#This Row],[Traffic (%)]]&gt;=0,表1[[#This Row],[Traffic (%)]]&lt;=100),"正常","异常")</f>
        <v>正常</v>
      </c>
      <c r="M26">
        <v>201</v>
      </c>
      <c r="N26">
        <v>0.31</v>
      </c>
      <c r="O26">
        <v>0.59</v>
      </c>
      <c r="P26" t="str">
        <f>IF(OR(表1[[#This Row],[Competition]]&lt;0,表1[[#This Row],[Competition]]&gt;1),"异常","正常")</f>
        <v>正常</v>
      </c>
      <c r="Q26">
        <v>166000000</v>
      </c>
      <c r="R26" t="s">
        <v>39</v>
      </c>
      <c r="S26" s="1">
        <v>45671</v>
      </c>
      <c r="T26" s="1" t="str">
        <f>IF(ISNUMBER(表1[[#This Row],[Last Seen]]),"日期正确","需要清洗")</f>
        <v>日期正确</v>
      </c>
      <c r="U26">
        <v>55</v>
      </c>
      <c r="V26" s="1" t="str">
        <f>IF(OR(表1[[#This Row],[Keyword Difficulty]]&lt;0,表1[[#This Row],[Keyword Difficulty]]&gt;100),"异常","正常")</f>
        <v>正常</v>
      </c>
    </row>
    <row r="27" spans="1:22" x14ac:dyDescent="0.2">
      <c r="A27" t="s">
        <v>61</v>
      </c>
      <c r="B27" t="s">
        <v>62</v>
      </c>
      <c r="C27" s="1" t="str">
        <f>LOWER(CLEAN(TRIM(表1[[#This Row],[Keyword]])))</f>
        <v>safe certification</v>
      </c>
      <c r="D27" s="1" t="str">
        <f>IF(COUNTIF(表1[Keyword_Clean],表1[[#This Row],[Keyword_Clean]])&gt;1,"唯一","重复")</f>
        <v>重复</v>
      </c>
      <c r="E27">
        <v>2</v>
      </c>
      <c r="F27" t="str">
        <f>IF(OR(表1[[#This Row],[Position]]="",表1[[#This Row],[Position]]&lt;=0),"异常/空","正常")</f>
        <v>正常</v>
      </c>
      <c r="G27">
        <v>2</v>
      </c>
      <c r="H27">
        <v>6600</v>
      </c>
      <c r="I27">
        <v>3.77</v>
      </c>
      <c r="J27">
        <v>85</v>
      </c>
      <c r="K27">
        <v>0.45</v>
      </c>
      <c r="L27" t="str">
        <f>IF(OR(表1[[#This Row],[Traffic (%)]]&gt;=0,表1[[#This Row],[Traffic (%)]]&lt;=100),"正常","异常")</f>
        <v>正常</v>
      </c>
      <c r="M27">
        <v>320</v>
      </c>
      <c r="N27">
        <v>0.49</v>
      </c>
      <c r="O27">
        <v>0.41</v>
      </c>
      <c r="P27" t="str">
        <f>IF(OR(表1[[#This Row],[Competition]]&lt;0,表1[[#This Row],[Competition]]&gt;1),"异常","正常")</f>
        <v>正常</v>
      </c>
      <c r="Q27">
        <v>1400000000</v>
      </c>
      <c r="R27" t="s">
        <v>63</v>
      </c>
      <c r="S27" s="1">
        <v>45681</v>
      </c>
      <c r="T27" s="1" t="str">
        <f>IF(ISNUMBER(表1[[#This Row],[Last Seen]]),"日期正确","需要清洗")</f>
        <v>日期正确</v>
      </c>
      <c r="U27">
        <v>48</v>
      </c>
      <c r="V27" s="1" t="str">
        <f>IF(OR(表1[[#This Row],[Keyword Difficulty]]&lt;0,表1[[#This Row],[Keyword Difficulty]]&gt;100),"异常","正常")</f>
        <v>正常</v>
      </c>
    </row>
    <row r="28" spans="1:22" x14ac:dyDescent="0.2">
      <c r="A28" t="s">
        <v>24</v>
      </c>
      <c r="B28" t="s">
        <v>64</v>
      </c>
      <c r="C28" s="1" t="str">
        <f>LOWER(CLEAN(TRIM(表1[[#This Row],[Keyword]])))</f>
        <v>pmp certifications</v>
      </c>
      <c r="D28" s="1" t="str">
        <f>IF(COUNTIF(表1[Keyword_Clean],表1[[#This Row],[Keyword_Clean]])&gt;1,"唯一","重复")</f>
        <v>重复</v>
      </c>
      <c r="E28">
        <v>1</v>
      </c>
      <c r="F28" t="str">
        <f>IF(OR(表1[[#This Row],[Position]]="",表1[[#This Row],[Position]]&lt;=0),"异常/空","正常")</f>
        <v>正常</v>
      </c>
      <c r="G28">
        <v>1</v>
      </c>
      <c r="H28">
        <v>1600</v>
      </c>
      <c r="I28">
        <v>3.82</v>
      </c>
      <c r="J28">
        <v>75</v>
      </c>
      <c r="K28">
        <v>0.4</v>
      </c>
      <c r="L28" t="str">
        <f>IF(OR(表1[[#This Row],[Traffic (%)]]&gt;=0,表1[[#This Row],[Traffic (%)]]&lt;=100),"正常","异常")</f>
        <v>正常</v>
      </c>
      <c r="M28">
        <v>286</v>
      </c>
      <c r="N28">
        <v>0.44</v>
      </c>
      <c r="O28">
        <v>0.65</v>
      </c>
      <c r="P28" t="str">
        <f>IF(OR(表1[[#This Row],[Competition]]&lt;0,表1[[#This Row],[Competition]]&gt;1),"异常","正常")</f>
        <v>正常</v>
      </c>
      <c r="Q28">
        <v>35300000</v>
      </c>
      <c r="R28" t="s">
        <v>65</v>
      </c>
      <c r="S28" s="1">
        <v>45676</v>
      </c>
      <c r="T28" s="1" t="str">
        <f>IF(ISNUMBER(表1[[#This Row],[Last Seen]]),"日期正确","需要清洗")</f>
        <v>日期正确</v>
      </c>
      <c r="U28">
        <v>73</v>
      </c>
      <c r="V28" s="1" t="str">
        <f>IF(OR(表1[[#This Row],[Keyword Difficulty]]&lt;0,表1[[#This Row],[Keyword Difficulty]]&gt;100),"异常","正常")</f>
        <v>正常</v>
      </c>
    </row>
    <row r="29" spans="1:22" x14ac:dyDescent="0.2">
      <c r="A29" t="s">
        <v>66</v>
      </c>
      <c r="B29" t="s">
        <v>67</v>
      </c>
      <c r="C29" s="1" t="str">
        <f>LOWER(CLEAN(TRIM(表1[[#This Row],[Keyword]])))</f>
        <v>simplilearn login</v>
      </c>
      <c r="D29" s="1" t="str">
        <f>IF(COUNTIF(表1[Keyword_Clean],表1[[#This Row],[Keyword_Clean]])&gt;1,"唯一","重复")</f>
        <v>唯一</v>
      </c>
      <c r="E29">
        <v>1</v>
      </c>
      <c r="F29" t="str">
        <f>IF(OR(表1[[#This Row],[Position]]="",表1[[#This Row],[Position]]&lt;=0),"异常/空","正常")</f>
        <v>正常</v>
      </c>
      <c r="G29">
        <v>1</v>
      </c>
      <c r="H29">
        <v>1600</v>
      </c>
      <c r="I29">
        <v>1.31</v>
      </c>
      <c r="J29">
        <v>75</v>
      </c>
      <c r="K29">
        <v>0.4</v>
      </c>
      <c r="L29" t="str">
        <f>IF(OR(表1[[#This Row],[Traffic (%)]]&gt;=0,表1[[#This Row],[Traffic (%)]]&lt;=100),"正常","异常")</f>
        <v>正常</v>
      </c>
      <c r="M29">
        <v>98</v>
      </c>
      <c r="N29">
        <v>0.15</v>
      </c>
      <c r="O29">
        <v>0.13</v>
      </c>
      <c r="P29" t="str">
        <f>IF(OR(表1[[#This Row],[Competition]]&lt;0,表1[[#This Row],[Competition]]&gt;1),"异常","正常")</f>
        <v>正常</v>
      </c>
      <c r="Q29">
        <v>64</v>
      </c>
      <c r="R29" t="s">
        <v>68</v>
      </c>
      <c r="S29" s="1">
        <v>45680</v>
      </c>
      <c r="T29" s="1" t="str">
        <f>IF(ISNUMBER(表1[[#This Row],[Last Seen]]),"日期正确","需要清洗")</f>
        <v>日期正确</v>
      </c>
      <c r="U29">
        <v>57</v>
      </c>
      <c r="V29" s="1" t="str">
        <f>IF(OR(表1[[#This Row],[Keyword Difficulty]]&lt;0,表1[[#This Row],[Keyword Difficulty]]&gt;100),"异常","正常")</f>
        <v>正常</v>
      </c>
    </row>
    <row r="30" spans="1:22" x14ac:dyDescent="0.2">
      <c r="A30" t="s">
        <v>21</v>
      </c>
      <c r="B30" t="s">
        <v>69</v>
      </c>
      <c r="C30" s="1" t="str">
        <f>LOWER(CLEAN(TRIM(表1[[#This Row],[Keyword]])))</f>
        <v>smum master certification</v>
      </c>
      <c r="D30" s="1" t="str">
        <f>IF(COUNTIF(表1[Keyword_Clean],表1[[#This Row],[Keyword_Clean]])&gt;1,"唯一","重复")</f>
        <v>重复</v>
      </c>
      <c r="E30">
        <v>1</v>
      </c>
      <c r="F30" t="str">
        <f>IF(OR(表1[[#This Row],[Position]]="",表1[[#This Row],[Position]]&lt;=0),"异常/空","正常")</f>
        <v>正常</v>
      </c>
      <c r="G30">
        <v>1</v>
      </c>
      <c r="H30">
        <v>1600</v>
      </c>
      <c r="I30">
        <v>0</v>
      </c>
      <c r="J30">
        <v>75</v>
      </c>
      <c r="K30">
        <v>0.4</v>
      </c>
      <c r="L30" t="str">
        <f>IF(OR(表1[[#This Row],[Traffic (%)]]&gt;=0,表1[[#This Row],[Traffic (%)]]&lt;=100),"正常","异常")</f>
        <v>正常</v>
      </c>
      <c r="M30">
        <v>0</v>
      </c>
      <c r="N30">
        <v>0</v>
      </c>
      <c r="O30">
        <v>0</v>
      </c>
      <c r="P30" t="str">
        <f>IF(OR(表1[[#This Row],[Competition]]&lt;0,表1[[#This Row],[Competition]]&gt;1),"异常","正常")</f>
        <v>正常</v>
      </c>
      <c r="Q30">
        <v>16200000</v>
      </c>
      <c r="R30" t="s">
        <v>60</v>
      </c>
      <c r="S30" s="1">
        <v>45659</v>
      </c>
      <c r="T30" s="1" t="str">
        <f>IF(ISNUMBER(表1[[#This Row],[Last Seen]]),"日期正确","需要清洗")</f>
        <v>日期正确</v>
      </c>
      <c r="U30">
        <v>68</v>
      </c>
      <c r="V30" s="1" t="str">
        <f>IF(OR(表1[[#This Row],[Keyword Difficulty]]&lt;0,表1[[#This Row],[Keyword Difficulty]]&gt;100),"异常","正常")</f>
        <v>正常</v>
      </c>
    </row>
    <row r="31" spans="1:22" x14ac:dyDescent="0.2">
      <c r="A31" t="s">
        <v>21</v>
      </c>
      <c r="B31" t="s">
        <v>41</v>
      </c>
      <c r="C31" s="1" t="str">
        <f>LOWER(CLEAN(TRIM(表1[[#This Row],[Keyword]])))</f>
        <v>certified scrum master</v>
      </c>
      <c r="D31" s="1" t="str">
        <f>IF(COUNTIF(表1[Keyword_Clean],表1[[#This Row],[Keyword_Clean]])&gt;1,"唯一","重复")</f>
        <v>唯一</v>
      </c>
      <c r="E31">
        <v>2</v>
      </c>
      <c r="F31" t="str">
        <f>IF(OR(表1[[#This Row],[Position]]="",表1[[#This Row],[Position]]&lt;=0),"异常/空","正常")</f>
        <v>正常</v>
      </c>
      <c r="G31">
        <v>2</v>
      </c>
      <c r="H31">
        <v>5400</v>
      </c>
      <c r="I31">
        <v>2.68</v>
      </c>
      <c r="J31">
        <v>70</v>
      </c>
      <c r="K31">
        <v>0.37</v>
      </c>
      <c r="L31" t="str">
        <f>IF(OR(表1[[#This Row],[Traffic (%)]]&gt;=0,表1[[#This Row],[Traffic (%)]]&lt;=100),"正常","异常")</f>
        <v>正常</v>
      </c>
      <c r="M31">
        <v>187</v>
      </c>
      <c r="N31">
        <v>0.28000000000000003</v>
      </c>
      <c r="O31">
        <v>0.43</v>
      </c>
      <c r="P31" t="str">
        <f>IF(OR(表1[[#This Row],[Competition]]&lt;0,表1[[#This Row],[Competition]]&gt;1),"异常","正常")</f>
        <v>正常</v>
      </c>
      <c r="Q31">
        <v>24600000</v>
      </c>
      <c r="R31" t="s">
        <v>70</v>
      </c>
      <c r="S31" s="1">
        <v>45656</v>
      </c>
      <c r="T31" s="1" t="str">
        <f>IF(ISNUMBER(表1[[#This Row],[Last Seen]]),"日期正确","需要清洗")</f>
        <v>日期正确</v>
      </c>
      <c r="U31">
        <v>73</v>
      </c>
      <c r="V31" s="1" t="str">
        <f>IF(OR(表1[[#This Row],[Keyword Difficulty]]&lt;0,表1[[#This Row],[Keyword Difficulty]]&gt;100),"异常","正常")</f>
        <v>正常</v>
      </c>
    </row>
    <row r="32" spans="1:22" x14ac:dyDescent="0.2">
      <c r="A32" t="s">
        <v>71</v>
      </c>
      <c r="B32" t="s">
        <v>72</v>
      </c>
      <c r="C32" s="1" t="str">
        <f>LOWER(CLEAN(TRIM(表1[[#This Row],[Keyword]])))</f>
        <v>cspo</v>
      </c>
      <c r="D32" s="1" t="str">
        <f>IF(COUNTIF(表1[Keyword_Clean],表1[[#This Row],[Keyword_Clean]])&gt;1,"唯一","重复")</f>
        <v>唯一</v>
      </c>
      <c r="E32">
        <v>2</v>
      </c>
      <c r="F32" t="str">
        <f>IF(OR(表1[[#This Row],[Position]]="",表1[[#This Row],[Position]]&lt;=0),"异常/空","正常")</f>
        <v>正常</v>
      </c>
      <c r="G32">
        <v>2</v>
      </c>
      <c r="H32">
        <v>5400</v>
      </c>
      <c r="I32">
        <v>4.09</v>
      </c>
      <c r="J32">
        <v>70</v>
      </c>
      <c r="K32">
        <v>0.37</v>
      </c>
      <c r="L32" t="str">
        <f>IF(OR(表1[[#This Row],[Traffic (%)]]&gt;=0,表1[[#This Row],[Traffic (%)]]&lt;=100),"正常","异常")</f>
        <v>正常</v>
      </c>
      <c r="M32">
        <v>286</v>
      </c>
      <c r="N32">
        <v>0.44</v>
      </c>
      <c r="O32">
        <v>0.41</v>
      </c>
      <c r="P32" t="str">
        <f>IF(OR(表1[[#This Row],[Competition]]&lt;0,表1[[#This Row],[Competition]]&gt;1),"异常","正常")</f>
        <v>正常</v>
      </c>
      <c r="Q32">
        <v>8660000</v>
      </c>
      <c r="R32" t="s">
        <v>73</v>
      </c>
      <c r="S32" s="1">
        <v>45664</v>
      </c>
      <c r="T32" s="1" t="str">
        <f>IF(ISNUMBER(表1[[#This Row],[Last Seen]]),"日期正确","需要清洗")</f>
        <v>日期正确</v>
      </c>
      <c r="U32">
        <v>44</v>
      </c>
      <c r="V32" s="1" t="str">
        <f>IF(OR(表1[[#This Row],[Keyword Difficulty]]&lt;0,表1[[#This Row],[Keyword Difficulty]]&gt;100),"异常","正常")</f>
        <v>正常</v>
      </c>
    </row>
    <row r="33" spans="1:22" x14ac:dyDescent="0.2">
      <c r="A33" t="s">
        <v>21</v>
      </c>
      <c r="B33" t="s">
        <v>28</v>
      </c>
      <c r="C33" s="1" t="str">
        <f>LOWER(CLEAN(TRIM(表1[[#This Row],[Keyword]])))</f>
        <v>certified scrum master certification</v>
      </c>
      <c r="D33" s="1" t="str">
        <f>IF(COUNTIF(表1[Keyword_Clean],表1[[#This Row],[Keyword_Clean]])&gt;1,"唯一","重复")</f>
        <v>唯一</v>
      </c>
      <c r="E33">
        <v>4</v>
      </c>
      <c r="F33" t="str">
        <f>IF(OR(表1[[#This Row],[Position]]="",表1[[#This Row],[Position]]&lt;=0),"异常/空","正常")</f>
        <v>正常</v>
      </c>
      <c r="G33">
        <v>4</v>
      </c>
      <c r="H33">
        <v>9900</v>
      </c>
      <c r="I33">
        <v>3.21</v>
      </c>
      <c r="J33">
        <v>69</v>
      </c>
      <c r="K33">
        <v>0.36</v>
      </c>
      <c r="L33" t="str">
        <f>IF(OR(表1[[#This Row],[Traffic (%)]]&gt;=0,表1[[#This Row],[Traffic (%)]]&lt;=100),"正常","异常")</f>
        <v>正常</v>
      </c>
      <c r="M33">
        <v>221</v>
      </c>
      <c r="N33">
        <v>0.34</v>
      </c>
      <c r="O33">
        <v>0.64</v>
      </c>
      <c r="P33" t="str">
        <f>IF(OR(表1[[#This Row],[Competition]]&lt;0,表1[[#This Row],[Competition]]&gt;1),"异常","正常")</f>
        <v>正常</v>
      </c>
      <c r="Q33">
        <v>31500000</v>
      </c>
      <c r="R33" t="s">
        <v>29</v>
      </c>
      <c r="S33" s="1">
        <v>45681</v>
      </c>
      <c r="T33" s="1" t="str">
        <f>IF(ISNUMBER(表1[[#This Row],[Last Seen]]),"日期正确","需要清洗")</f>
        <v>日期正确</v>
      </c>
      <c r="U33">
        <v>54</v>
      </c>
      <c r="V33" s="1" t="str">
        <f>IF(OR(表1[[#This Row],[Keyword Difficulty]]&lt;0,表1[[#This Row],[Keyword Difficulty]]&gt;100),"异常","正常")</f>
        <v>正常</v>
      </c>
    </row>
    <row r="34" spans="1:22" x14ac:dyDescent="0.2">
      <c r="A34" t="s">
        <v>74</v>
      </c>
      <c r="B34" t="s">
        <v>75</v>
      </c>
      <c r="C34" s="1" t="str">
        <f>LOWER(CLEAN(TRIM(表1[[#This Row],[Keyword]])))</f>
        <v>pmp certification cost</v>
      </c>
      <c r="D34" s="1" t="str">
        <f>IF(COUNTIF(表1[Keyword_Clean],表1[[#This Row],[Keyword_Clean]])&gt;1,"唯一","重复")</f>
        <v>重复</v>
      </c>
      <c r="E34">
        <v>5</v>
      </c>
      <c r="F34" t="str">
        <f>IF(OR(表1[[#This Row],[Position]]="",表1[[#This Row],[Position]]&lt;=0),"异常/空","正常")</f>
        <v>正常</v>
      </c>
      <c r="G34">
        <v>5</v>
      </c>
      <c r="H34">
        <v>12100</v>
      </c>
      <c r="I34">
        <v>2.59</v>
      </c>
      <c r="J34">
        <v>60</v>
      </c>
      <c r="K34">
        <v>0.32</v>
      </c>
      <c r="L34" t="str">
        <f>IF(OR(表1[[#This Row],[Traffic (%)]]&gt;=0,表1[[#This Row],[Traffic (%)]]&lt;=100),"正常","异常")</f>
        <v>正常</v>
      </c>
      <c r="M34">
        <v>155</v>
      </c>
      <c r="N34">
        <v>0.23</v>
      </c>
      <c r="O34">
        <v>0.33</v>
      </c>
      <c r="P34" t="str">
        <f>IF(OR(表1[[#This Row],[Competition]]&lt;0,表1[[#This Row],[Competition]]&gt;1),"异常","正常")</f>
        <v>正常</v>
      </c>
      <c r="Q34">
        <v>112000000</v>
      </c>
      <c r="R34" t="s">
        <v>76</v>
      </c>
      <c r="S34" s="1">
        <v>45664</v>
      </c>
      <c r="T34" s="1" t="str">
        <f>IF(ISNUMBER(表1[[#This Row],[Last Seen]]),"日期正确","需要清洗")</f>
        <v>日期正确</v>
      </c>
      <c r="U34">
        <v>46</v>
      </c>
      <c r="V34" s="1" t="str">
        <f>IF(OR(表1[[#This Row],[Keyword Difficulty]]&lt;0,表1[[#This Row],[Keyword Difficulty]]&gt;100),"异常","正常")</f>
        <v>正常</v>
      </c>
    </row>
    <row r="35" spans="1:22" x14ac:dyDescent="0.2">
      <c r="A35" t="s">
        <v>77</v>
      </c>
      <c r="B35" t="s">
        <v>78</v>
      </c>
      <c r="C35" s="1" t="str">
        <f>LOWER(CLEAN(TRIM(表1[[#This Row],[Keyword]])))</f>
        <v>pmp exam</v>
      </c>
      <c r="D35" s="1" t="str">
        <f>IF(COUNTIF(表1[Keyword_Clean],表1[[#This Row],[Keyword_Clean]])&gt;1,"唯一","重复")</f>
        <v>唯一</v>
      </c>
      <c r="E35">
        <v>3</v>
      </c>
      <c r="F35" t="str">
        <f>IF(OR(表1[[#This Row],[Position]]="",表1[[#This Row],[Position]]&lt;=0),"异常/空","正常")</f>
        <v>正常</v>
      </c>
      <c r="G35">
        <v>0</v>
      </c>
      <c r="H35">
        <v>6600</v>
      </c>
      <c r="I35">
        <v>2.6</v>
      </c>
      <c r="J35">
        <v>59</v>
      </c>
      <c r="K35">
        <v>0.31</v>
      </c>
      <c r="L35" t="str">
        <f>IF(OR(表1[[#This Row],[Traffic (%)]]&gt;=0,表1[[#This Row],[Traffic (%)]]&lt;=100),"正常","异常")</f>
        <v>正常</v>
      </c>
      <c r="M35">
        <v>153</v>
      </c>
      <c r="N35">
        <v>0.23</v>
      </c>
      <c r="O35">
        <v>0.39</v>
      </c>
      <c r="P35" t="str">
        <f>IF(OR(表1[[#This Row],[Competition]]&lt;0,表1[[#This Row],[Competition]]&gt;1),"异常","正常")</f>
        <v>正常</v>
      </c>
      <c r="Q35">
        <v>21000000</v>
      </c>
      <c r="R35" t="s">
        <v>79</v>
      </c>
      <c r="S35" s="1">
        <v>45683</v>
      </c>
      <c r="T35" s="1" t="str">
        <f>IF(ISNUMBER(表1[[#This Row],[Last Seen]]),"日期正确","需要清洗")</f>
        <v>日期正确</v>
      </c>
      <c r="U35">
        <v>60</v>
      </c>
      <c r="V35" s="1" t="str">
        <f>IF(OR(表1[[#This Row],[Keyword Difficulty]]&lt;0,表1[[#This Row],[Keyword Difficulty]]&gt;100),"异常","正常")</f>
        <v>正常</v>
      </c>
    </row>
    <row r="36" spans="1:22" x14ac:dyDescent="0.2">
      <c r="A36" t="s">
        <v>21</v>
      </c>
      <c r="B36" t="s">
        <v>28</v>
      </c>
      <c r="C36" s="1" t="str">
        <f>LOWER(CLEAN(TRIM(表1[[#This Row],[Keyword]])))</f>
        <v>certified scrum master certification</v>
      </c>
      <c r="D36" s="1" t="str">
        <f>IF(COUNTIF(表1[Keyword_Clean],表1[[#This Row],[Keyword_Clean]])&gt;1,"唯一","重复")</f>
        <v>唯一</v>
      </c>
      <c r="E36">
        <v>6</v>
      </c>
      <c r="F36" t="str">
        <f>IF(OR(表1[[#This Row],[Position]]="",表1[[#This Row],[Position]]&lt;=0),"异常/空","正常")</f>
        <v>正常</v>
      </c>
      <c r="G36">
        <v>6</v>
      </c>
      <c r="H36">
        <v>9900</v>
      </c>
      <c r="I36">
        <v>3.4</v>
      </c>
      <c r="J36">
        <v>49</v>
      </c>
      <c r="K36">
        <v>0.26</v>
      </c>
      <c r="L36" t="str">
        <f>IF(OR(表1[[#This Row],[Traffic (%)]]&gt;=0,表1[[#This Row],[Traffic (%)]]&lt;=100),"正常","异常")</f>
        <v>正常</v>
      </c>
      <c r="M36">
        <v>166</v>
      </c>
      <c r="N36">
        <v>0.25</v>
      </c>
      <c r="O36">
        <v>0.56000000000000005</v>
      </c>
      <c r="P36" t="str">
        <f>IF(OR(表1[[#This Row],[Competition]]&lt;0,表1[[#This Row],[Competition]]&gt;1),"异常","正常")</f>
        <v>正常</v>
      </c>
      <c r="Q36">
        <v>13200000</v>
      </c>
      <c r="R36" t="s">
        <v>80</v>
      </c>
      <c r="S36" s="1">
        <v>45656</v>
      </c>
      <c r="T36" s="1" t="str">
        <f>IF(ISNUMBER(表1[[#This Row],[Last Seen]]),"日期正确","需要清洗")</f>
        <v>日期正确</v>
      </c>
      <c r="U36">
        <v>55</v>
      </c>
      <c r="V36" s="1" t="str">
        <f>IF(OR(表1[[#This Row],[Keyword Difficulty]]&lt;0,表1[[#This Row],[Keyword Difficulty]]&gt;100),"异常","正常")</f>
        <v>正常</v>
      </c>
    </row>
    <row r="37" spans="1:22" x14ac:dyDescent="0.2">
      <c r="A37" t="s">
        <v>81</v>
      </c>
      <c r="B37" t="s">
        <v>72</v>
      </c>
      <c r="C37" s="1" t="str">
        <f>LOWER(CLEAN(TRIM(表1[[#This Row],[Keyword]])))</f>
        <v>cspo</v>
      </c>
      <c r="D37" s="1" t="str">
        <f>IF(COUNTIF(表1[Keyword_Clean],表1[[#This Row],[Keyword_Clean]])&gt;1,"唯一","重复")</f>
        <v>唯一</v>
      </c>
      <c r="E37">
        <v>3</v>
      </c>
      <c r="F37" t="str">
        <f>IF(OR(表1[[#This Row],[Position]]="",表1[[#This Row],[Position]]&lt;=0),"异常/空","正常")</f>
        <v>正常</v>
      </c>
      <c r="G37">
        <v>3</v>
      </c>
      <c r="H37">
        <v>5400</v>
      </c>
      <c r="I37">
        <v>4.09</v>
      </c>
      <c r="J37">
        <v>48</v>
      </c>
      <c r="K37">
        <v>0.25</v>
      </c>
      <c r="L37" t="str">
        <f>IF(OR(表1[[#This Row],[Traffic (%)]]&gt;=0,表1[[#This Row],[Traffic (%)]]&lt;=100),"正常","异常")</f>
        <v>正常</v>
      </c>
      <c r="M37">
        <v>196</v>
      </c>
      <c r="N37">
        <v>0.3</v>
      </c>
      <c r="O37">
        <v>0.41</v>
      </c>
      <c r="P37" t="str">
        <f>IF(OR(表1[[#This Row],[Competition]]&lt;0,表1[[#This Row],[Competition]]&gt;1),"异常","正常")</f>
        <v>正常</v>
      </c>
      <c r="Q37">
        <v>8780000</v>
      </c>
      <c r="R37" t="s">
        <v>73</v>
      </c>
      <c r="S37" s="1">
        <v>45660</v>
      </c>
      <c r="T37" s="1" t="str">
        <f>IF(ISNUMBER(表1[[#This Row],[Last Seen]]),"日期正确","需要清洗")</f>
        <v>日期正确</v>
      </c>
      <c r="U37">
        <v>44</v>
      </c>
      <c r="V37" s="1" t="str">
        <f>IF(OR(表1[[#This Row],[Keyword Difficulty]]&lt;0,表1[[#This Row],[Keyword Difficulty]]&gt;100),"异常","正常")</f>
        <v>正常</v>
      </c>
    </row>
    <row r="38" spans="1:22" x14ac:dyDescent="0.2">
      <c r="A38" t="s">
        <v>82</v>
      </c>
      <c r="B38" t="s">
        <v>83</v>
      </c>
      <c r="C38" s="1" t="str">
        <f>LOWER(CLEAN(TRIM(表1[[#This Row],[Keyword]])))</f>
        <v>simplelearn</v>
      </c>
      <c r="D38" s="1" t="str">
        <f>IF(COUNTIF(表1[Keyword_Clean],表1[[#This Row],[Keyword_Clean]])&gt;1,"唯一","重复")</f>
        <v>重复</v>
      </c>
      <c r="E38">
        <v>1</v>
      </c>
      <c r="F38" t="str">
        <f>IF(OR(表1[[#This Row],[Position]]="",表1[[#This Row],[Position]]&lt;=0),"异常/空","正常")</f>
        <v>正常</v>
      </c>
      <c r="G38">
        <v>1</v>
      </c>
      <c r="H38">
        <v>1000</v>
      </c>
      <c r="I38">
        <v>2.31</v>
      </c>
      <c r="J38">
        <v>47</v>
      </c>
      <c r="K38">
        <v>0.25</v>
      </c>
      <c r="L38" t="str">
        <f>IF(OR(表1[[#This Row],[Traffic (%)]]&gt;=0,表1[[#This Row],[Traffic (%)]]&lt;=100),"正常","异常")</f>
        <v>正常</v>
      </c>
      <c r="M38">
        <v>108</v>
      </c>
      <c r="N38">
        <v>0.16</v>
      </c>
      <c r="O38">
        <v>0.14000000000000001</v>
      </c>
      <c r="P38" t="str">
        <f>IF(OR(表1[[#This Row],[Competition]]&lt;0,表1[[#This Row],[Competition]]&gt;1),"异常","正常")</f>
        <v>正常</v>
      </c>
      <c r="Q38">
        <v>4340000</v>
      </c>
      <c r="R38" t="s">
        <v>84</v>
      </c>
      <c r="S38" s="1">
        <v>45670</v>
      </c>
      <c r="T38" s="1" t="str">
        <f>IF(ISNUMBER(表1[[#This Row],[Last Seen]]),"日期正确","需要清洗")</f>
        <v>日期正确</v>
      </c>
      <c r="U38">
        <v>56</v>
      </c>
      <c r="V38" s="1" t="str">
        <f>IF(OR(表1[[#This Row],[Keyword Difficulty]]&lt;0,表1[[#This Row],[Keyword Difficulty]]&gt;100),"异常","正常")</f>
        <v>正常</v>
      </c>
    </row>
    <row r="39" spans="1:22" x14ac:dyDescent="0.2">
      <c r="A39" t="s">
        <v>82</v>
      </c>
      <c r="B39" t="s">
        <v>85</v>
      </c>
      <c r="C39" s="1" t="str">
        <f>LOWER(CLEAN(TRIM(表1[[#This Row],[Keyword]])))</f>
        <v>simpli learn</v>
      </c>
      <c r="D39" s="1" t="str">
        <f>IF(COUNTIF(表1[Keyword_Clean],表1[[#This Row],[Keyword_Clean]])&gt;1,"唯一","重复")</f>
        <v>重复</v>
      </c>
      <c r="E39">
        <v>1</v>
      </c>
      <c r="F39" t="str">
        <f>IF(OR(表1[[#This Row],[Position]]="",表1[[#This Row],[Position]]&lt;=0),"异常/空","正常")</f>
        <v>正常</v>
      </c>
      <c r="G39">
        <v>1</v>
      </c>
      <c r="H39">
        <v>1000</v>
      </c>
      <c r="I39">
        <v>2.31</v>
      </c>
      <c r="J39">
        <v>47</v>
      </c>
      <c r="K39">
        <v>0.25</v>
      </c>
      <c r="L39" t="str">
        <f>IF(OR(表1[[#This Row],[Traffic (%)]]&gt;=0,表1[[#This Row],[Traffic (%)]]&lt;=100),"正常","异常")</f>
        <v>正常</v>
      </c>
      <c r="M39">
        <v>108</v>
      </c>
      <c r="N39">
        <v>0.16</v>
      </c>
      <c r="O39">
        <v>0.14000000000000001</v>
      </c>
      <c r="P39" t="str">
        <f>IF(OR(表1[[#This Row],[Competition]]&lt;0,表1[[#This Row],[Competition]]&gt;1),"异常","正常")</f>
        <v>正常</v>
      </c>
      <c r="Q39">
        <v>4430000</v>
      </c>
      <c r="R39" t="s">
        <v>86</v>
      </c>
      <c r="S39" s="1">
        <v>45663</v>
      </c>
      <c r="T39" s="1" t="str">
        <f>IF(ISNUMBER(表1[[#This Row],[Last Seen]]),"日期正确","需要清洗")</f>
        <v>日期正确</v>
      </c>
      <c r="U39">
        <v>66</v>
      </c>
      <c r="V39" s="1" t="str">
        <f>IF(OR(表1[[#This Row],[Keyword Difficulty]]&lt;0,表1[[#This Row],[Keyword Difficulty]]&gt;100),"异常","正常")</f>
        <v>正常</v>
      </c>
    </row>
    <row r="40" spans="1:22" x14ac:dyDescent="0.2">
      <c r="A40" t="s">
        <v>36</v>
      </c>
      <c r="B40" t="s">
        <v>87</v>
      </c>
      <c r="C40" s="1" t="str">
        <f>LOWER(CLEAN(TRIM(表1[[#This Row],[Keyword]])))</f>
        <v>simply learn</v>
      </c>
      <c r="D40" s="1" t="str">
        <f>IF(COUNTIF(表1[Keyword_Clean],表1[[#This Row],[Keyword_Clean]])&gt;1,"唯一","重复")</f>
        <v>唯一</v>
      </c>
      <c r="E40">
        <v>1</v>
      </c>
      <c r="F40" t="str">
        <f>IF(OR(表1[[#This Row],[Position]]="",表1[[#This Row],[Position]]&lt;=0),"异常/空","正常")</f>
        <v>正常</v>
      </c>
      <c r="G40">
        <v>1</v>
      </c>
      <c r="H40">
        <v>1000</v>
      </c>
      <c r="I40">
        <v>2.31</v>
      </c>
      <c r="J40">
        <v>47</v>
      </c>
      <c r="K40">
        <v>0.25</v>
      </c>
      <c r="L40" t="str">
        <f>IF(OR(表1[[#This Row],[Traffic (%)]]&gt;=0,表1[[#This Row],[Traffic (%)]]&lt;=100),"正常","异常")</f>
        <v>正常</v>
      </c>
      <c r="M40">
        <v>108</v>
      </c>
      <c r="N40">
        <v>0.16</v>
      </c>
      <c r="O40">
        <v>0.14000000000000001</v>
      </c>
      <c r="P40" t="str">
        <f>IF(OR(表1[[#This Row],[Competition]]&lt;0,表1[[#This Row],[Competition]]&gt;1),"异常","正常")</f>
        <v>正常</v>
      </c>
      <c r="Q40">
        <v>4350000</v>
      </c>
      <c r="R40" t="s">
        <v>88</v>
      </c>
      <c r="S40" s="1">
        <v>45663</v>
      </c>
      <c r="T40" s="1" t="str">
        <f>IF(ISNUMBER(表1[[#This Row],[Last Seen]]),"日期正确","需要清洗")</f>
        <v>日期正确</v>
      </c>
      <c r="U40">
        <v>62</v>
      </c>
      <c r="V40" s="1" t="str">
        <f>IF(OR(表1[[#This Row],[Keyword Difficulty]]&lt;0,表1[[#This Row],[Keyword Difficulty]]&gt;100),"异常","正常")</f>
        <v>正常</v>
      </c>
    </row>
    <row r="41" spans="1:22" x14ac:dyDescent="0.2">
      <c r="A41" t="s">
        <v>18</v>
      </c>
      <c r="B41" t="s">
        <v>78</v>
      </c>
      <c r="C41" s="1" t="str">
        <f>LOWER(CLEAN(TRIM(表1[[#This Row],[Keyword]])))</f>
        <v>pmp exam</v>
      </c>
      <c r="D41" s="1" t="str">
        <f>IF(COUNTIF(表1[Keyword_Clean],表1[[#This Row],[Keyword_Clean]])&gt;1,"唯一","重复")</f>
        <v>唯一</v>
      </c>
      <c r="E41">
        <v>4</v>
      </c>
      <c r="F41" t="str">
        <f>IF(OR(表1[[#This Row],[Position]]="",表1[[#This Row],[Position]]&lt;=0),"异常/空","正常")</f>
        <v>正常</v>
      </c>
      <c r="G41">
        <v>4</v>
      </c>
      <c r="H41">
        <v>6600</v>
      </c>
      <c r="I41">
        <v>2.17</v>
      </c>
      <c r="J41">
        <v>46</v>
      </c>
      <c r="K41">
        <v>0.24</v>
      </c>
      <c r="L41" t="str">
        <f>IF(OR(表1[[#This Row],[Traffic (%)]]&gt;=0,表1[[#This Row],[Traffic (%)]]&lt;=100),"正常","异常")</f>
        <v>正常</v>
      </c>
      <c r="M41">
        <v>99</v>
      </c>
      <c r="N41">
        <v>0.15</v>
      </c>
      <c r="O41">
        <v>0.36</v>
      </c>
      <c r="P41" t="str">
        <f>IF(OR(表1[[#This Row],[Competition]]&lt;0,表1[[#This Row],[Competition]]&gt;1),"异常","正常")</f>
        <v>正常</v>
      </c>
      <c r="Q41">
        <v>24200000</v>
      </c>
      <c r="R41" t="s">
        <v>89</v>
      </c>
      <c r="S41" s="1">
        <v>45657</v>
      </c>
      <c r="T41" s="1" t="str">
        <f>IF(ISNUMBER(表1[[#This Row],[Last Seen]]),"日期正确","需要清洗")</f>
        <v>日期正确</v>
      </c>
      <c r="U41">
        <v>68</v>
      </c>
      <c r="V41" s="1" t="str">
        <f>IF(OR(表1[[#This Row],[Keyword Difficulty]]&lt;0,表1[[#This Row],[Keyword Difficulty]]&gt;100),"异常","正常")</f>
        <v>正常</v>
      </c>
    </row>
    <row r="42" spans="1:22" x14ac:dyDescent="0.2">
      <c r="A42" t="s">
        <v>90</v>
      </c>
      <c r="B42" t="s">
        <v>78</v>
      </c>
      <c r="C42" s="1" t="str">
        <f>LOWER(CLEAN(TRIM(表1[[#This Row],[Keyword]])))</f>
        <v>pmp exam</v>
      </c>
      <c r="D42" s="1" t="str">
        <f>IF(COUNTIF(表1[Keyword_Clean],表1[[#This Row],[Keyword_Clean]])&gt;1,"唯一","重复")</f>
        <v>唯一</v>
      </c>
      <c r="E42">
        <v>4</v>
      </c>
      <c r="F42" t="str">
        <f>IF(OR(表1[[#This Row],[Position]]="",表1[[#This Row],[Position]]&lt;=0),"异常/空","正常")</f>
        <v>正常</v>
      </c>
      <c r="G42">
        <v>4</v>
      </c>
      <c r="H42">
        <v>6600</v>
      </c>
      <c r="I42">
        <v>2.6</v>
      </c>
      <c r="J42">
        <v>46</v>
      </c>
      <c r="K42">
        <v>0.24</v>
      </c>
      <c r="L42" t="str">
        <f>IF(OR(表1[[#This Row],[Traffic (%)]]&gt;=0,表1[[#This Row],[Traffic (%)]]&lt;=100),"正常","异常")</f>
        <v>正常</v>
      </c>
      <c r="M42">
        <v>119</v>
      </c>
      <c r="N42">
        <v>0.18</v>
      </c>
      <c r="O42">
        <v>0.39</v>
      </c>
      <c r="P42" t="str">
        <f>IF(OR(表1[[#This Row],[Competition]]&lt;0,表1[[#This Row],[Competition]]&gt;1),"异常","正常")</f>
        <v>正常</v>
      </c>
      <c r="Q42">
        <v>20400000</v>
      </c>
      <c r="R42" t="s">
        <v>79</v>
      </c>
      <c r="S42" s="1">
        <v>45667</v>
      </c>
      <c r="T42" s="1" t="str">
        <f>IF(ISNUMBER(表1[[#This Row],[Last Seen]]),"日期正确","需要清洗")</f>
        <v>日期正确</v>
      </c>
      <c r="U42">
        <v>63</v>
      </c>
      <c r="V42" s="1" t="str">
        <f>IF(OR(表1[[#This Row],[Keyword Difficulty]]&lt;0,表1[[#This Row],[Keyword Difficulty]]&gt;100),"异常","正常")</f>
        <v>正常</v>
      </c>
    </row>
    <row r="43" spans="1:22" x14ac:dyDescent="0.2">
      <c r="A43" t="s">
        <v>32</v>
      </c>
      <c r="B43" t="s">
        <v>91</v>
      </c>
      <c r="C43" s="1" t="str">
        <f>LOWER(CLEAN(TRIM(表1[[#This Row],[Keyword]])))</f>
        <v>pmp certification exam questions</v>
      </c>
      <c r="D43" s="1" t="str">
        <f>IF(COUNTIF(表1[Keyword_Clean],表1[[#This Row],[Keyword_Clean]])&gt;1,"唯一","重复")</f>
        <v>重复</v>
      </c>
      <c r="E43">
        <v>1</v>
      </c>
      <c r="F43" t="str">
        <f>IF(OR(表1[[#This Row],[Position]]="",表1[[#This Row],[Position]]&lt;=0),"异常/空","正常")</f>
        <v>正常</v>
      </c>
      <c r="G43">
        <v>1</v>
      </c>
      <c r="H43">
        <v>880</v>
      </c>
      <c r="I43">
        <v>1.06</v>
      </c>
      <c r="J43">
        <v>41</v>
      </c>
      <c r="K43">
        <v>0.21</v>
      </c>
      <c r="L43" t="str">
        <f>IF(OR(表1[[#This Row],[Traffic (%)]]&gt;=0,表1[[#This Row],[Traffic (%)]]&lt;=100),"正常","异常")</f>
        <v>正常</v>
      </c>
      <c r="M43">
        <v>43</v>
      </c>
      <c r="N43">
        <v>0.06</v>
      </c>
      <c r="O43">
        <v>0.45</v>
      </c>
      <c r="P43" t="str">
        <f>IF(OR(表1[[#This Row],[Competition]]&lt;0,表1[[#This Row],[Competition]]&gt;1),"异常","正常")</f>
        <v>正常</v>
      </c>
      <c r="Q43">
        <v>94000000</v>
      </c>
      <c r="R43" t="s">
        <v>92</v>
      </c>
      <c r="S43" s="1">
        <v>45674</v>
      </c>
      <c r="T43" s="1" t="str">
        <f>IF(ISNUMBER(表1[[#This Row],[Last Seen]]),"日期正确","需要清洗")</f>
        <v>日期正确</v>
      </c>
      <c r="U43">
        <v>37</v>
      </c>
      <c r="V43" s="1" t="str">
        <f>IF(OR(表1[[#This Row],[Keyword Difficulty]]&lt;0,表1[[#This Row],[Keyword Difficulty]]&gt;100),"异常","正常")</f>
        <v>正常</v>
      </c>
    </row>
    <row r="44" spans="1:22" x14ac:dyDescent="0.2">
      <c r="A44" t="s">
        <v>93</v>
      </c>
      <c r="B44" t="s">
        <v>94</v>
      </c>
      <c r="C44" s="1" t="str">
        <f>LOWER(CLEAN(TRIM(表1[[#This Row],[Keyword]])))</f>
        <v>simplilearn americas</v>
      </c>
      <c r="D44" s="1" t="str">
        <f>IF(COUNTIF(表1[Keyword_Clean],表1[[#This Row],[Keyword_Clean]])&gt;1,"唯一","重复")</f>
        <v>重复</v>
      </c>
      <c r="E44">
        <v>1</v>
      </c>
      <c r="F44" t="str">
        <f>IF(OR(表1[[#This Row],[Position]]="",表1[[#This Row],[Position]]&lt;=0),"异常/空","正常")</f>
        <v>正常</v>
      </c>
      <c r="G44">
        <v>1</v>
      </c>
      <c r="H44">
        <v>720</v>
      </c>
      <c r="I44">
        <v>1.88</v>
      </c>
      <c r="J44">
        <v>33</v>
      </c>
      <c r="K44">
        <v>0.17</v>
      </c>
      <c r="L44" t="str">
        <f>IF(OR(表1[[#This Row],[Traffic (%)]]&gt;=0,表1[[#This Row],[Traffic (%)]]&lt;=100),"正常","异常")</f>
        <v>正常</v>
      </c>
      <c r="M44">
        <v>62</v>
      </c>
      <c r="N44">
        <v>0.09</v>
      </c>
      <c r="O44">
        <v>0.16</v>
      </c>
      <c r="P44" t="str">
        <f>IF(OR(表1[[#This Row],[Competition]]&lt;0,表1[[#This Row],[Competition]]&gt;1),"异常","正常")</f>
        <v>正常</v>
      </c>
      <c r="Q44">
        <v>775000</v>
      </c>
      <c r="R44" t="s">
        <v>95</v>
      </c>
      <c r="S44" s="1">
        <v>45657</v>
      </c>
      <c r="T44" s="1" t="str">
        <f>IF(ISNUMBER(表1[[#This Row],[Last Seen]]),"日期正确","需要清洗")</f>
        <v>日期正确</v>
      </c>
      <c r="U44">
        <v>37</v>
      </c>
      <c r="V44" s="1" t="str">
        <f>IF(OR(表1[[#This Row],[Keyword Difficulty]]&lt;0,表1[[#This Row],[Keyword Difficulty]]&gt;100),"异常","正常")</f>
        <v>正常</v>
      </c>
    </row>
    <row r="45" spans="1:22" x14ac:dyDescent="0.2">
      <c r="A45" t="s">
        <v>96</v>
      </c>
      <c r="B45" t="s">
        <v>97</v>
      </c>
      <c r="C45" s="1" t="str">
        <f>LOWER(CLEAN(TRIM(表1[[#This Row],[Keyword]])))</f>
        <v>pmp exam cost</v>
      </c>
      <c r="D45" s="1" t="str">
        <f>IF(COUNTIF(表1[Keyword_Clean],表1[[#This Row],[Keyword_Clean]])&gt;1,"唯一","重复")</f>
        <v>唯一</v>
      </c>
      <c r="E45">
        <v>2</v>
      </c>
      <c r="F45" t="str">
        <f>IF(OR(表1[[#This Row],[Position]]="",表1[[#This Row],[Position]]&lt;=0),"异常/空","正常")</f>
        <v>正常</v>
      </c>
      <c r="G45">
        <v>2</v>
      </c>
      <c r="H45">
        <v>2400</v>
      </c>
      <c r="I45">
        <v>2.2799999999999998</v>
      </c>
      <c r="J45">
        <v>31</v>
      </c>
      <c r="K45">
        <v>0.16</v>
      </c>
      <c r="L45" t="str">
        <f>IF(OR(表1[[#This Row],[Traffic (%)]]&gt;=0,表1[[#This Row],[Traffic (%)]]&lt;=100),"正常","异常")</f>
        <v>正常</v>
      </c>
      <c r="M45">
        <v>70</v>
      </c>
      <c r="N45">
        <v>0.1</v>
      </c>
      <c r="O45">
        <v>0.28000000000000003</v>
      </c>
      <c r="P45" t="str">
        <f>IF(OR(表1[[#This Row],[Competition]]&lt;0,表1[[#This Row],[Competition]]&gt;1),"异常","正常")</f>
        <v>正常</v>
      </c>
      <c r="Q45">
        <v>11400000</v>
      </c>
      <c r="R45" t="s">
        <v>98</v>
      </c>
      <c r="S45" s="1">
        <v>45672</v>
      </c>
      <c r="T45" s="1" t="str">
        <f>IF(ISNUMBER(表1[[#This Row],[Last Seen]]),"日期正确","需要清洗")</f>
        <v>日期正确</v>
      </c>
      <c r="U45">
        <v>38</v>
      </c>
      <c r="V45" s="1" t="str">
        <f>IF(OR(表1[[#This Row],[Keyword Difficulty]]&lt;0,表1[[#This Row],[Keyword Difficulty]]&gt;100),"异常","正常")</f>
        <v>正常</v>
      </c>
    </row>
    <row r="46" spans="1:22" x14ac:dyDescent="0.2">
      <c r="A46" t="s">
        <v>15</v>
      </c>
      <c r="B46" t="s">
        <v>97</v>
      </c>
      <c r="C46" s="1" t="str">
        <f>LOWER(CLEAN(TRIM(表1[[#This Row],[Keyword]])))</f>
        <v>pmp exam cost</v>
      </c>
      <c r="D46" s="1" t="str">
        <f>IF(COUNTIF(表1[Keyword_Clean],表1[[#This Row],[Keyword_Clean]])&gt;1,"唯一","重复")</f>
        <v>唯一</v>
      </c>
      <c r="E46">
        <v>2</v>
      </c>
      <c r="F46" t="str">
        <f>IF(OR(表1[[#This Row],[Position]]="",表1[[#This Row],[Position]]&lt;=0),"异常/空","正常")</f>
        <v>正常</v>
      </c>
      <c r="G46">
        <v>2</v>
      </c>
      <c r="H46">
        <v>2400</v>
      </c>
      <c r="I46">
        <v>2.2799999999999998</v>
      </c>
      <c r="J46">
        <v>31</v>
      </c>
      <c r="K46">
        <v>0.16</v>
      </c>
      <c r="L46" t="str">
        <f>IF(OR(表1[[#This Row],[Traffic (%)]]&gt;=0,表1[[#This Row],[Traffic (%)]]&lt;=100),"正常","异常")</f>
        <v>正常</v>
      </c>
      <c r="M46">
        <v>70</v>
      </c>
      <c r="N46">
        <v>0.1</v>
      </c>
      <c r="O46">
        <v>0.28000000000000003</v>
      </c>
      <c r="P46" t="str">
        <f>IF(OR(表1[[#This Row],[Competition]]&lt;0,表1[[#This Row],[Competition]]&gt;1),"异常","正常")</f>
        <v>正常</v>
      </c>
      <c r="Q46">
        <v>11600000</v>
      </c>
      <c r="R46" t="s">
        <v>98</v>
      </c>
      <c r="S46" s="1">
        <v>45679</v>
      </c>
      <c r="T46" s="1" t="str">
        <f>IF(ISNUMBER(表1[[#This Row],[Last Seen]]),"日期正确","需要清洗")</f>
        <v>日期正确</v>
      </c>
      <c r="U46">
        <v>44</v>
      </c>
      <c r="V46" s="1" t="str">
        <f>IF(OR(表1[[#This Row],[Keyword Difficulty]]&lt;0,表1[[#This Row],[Keyword Difficulty]]&gt;100),"异常","正常")</f>
        <v>正常</v>
      </c>
    </row>
    <row r="47" spans="1:22" x14ac:dyDescent="0.2">
      <c r="A47" t="s">
        <v>82</v>
      </c>
      <c r="B47" t="s">
        <v>99</v>
      </c>
      <c r="C47" s="1" t="str">
        <f>LOWER(CLEAN(TRIM(表1[[#This Row],[Keyword]])))</f>
        <v>simplylearn</v>
      </c>
      <c r="D47" s="1" t="str">
        <f>IF(COUNTIF(表1[Keyword_Clean],表1[[#This Row],[Keyword_Clean]])&gt;1,"唯一","重复")</f>
        <v>唯一</v>
      </c>
      <c r="E47">
        <v>1</v>
      </c>
      <c r="F47" t="str">
        <f>IF(OR(表1[[#This Row],[Position]]="",表1[[#This Row],[Position]]&lt;=0),"异常/空","正常")</f>
        <v>正常</v>
      </c>
      <c r="G47">
        <v>1</v>
      </c>
      <c r="H47">
        <v>590</v>
      </c>
      <c r="I47">
        <v>2.31</v>
      </c>
      <c r="J47">
        <v>27</v>
      </c>
      <c r="K47">
        <v>0.14000000000000001</v>
      </c>
      <c r="L47" t="str">
        <f>IF(OR(表1[[#This Row],[Traffic (%)]]&gt;=0,表1[[#This Row],[Traffic (%)]]&lt;=100),"正常","异常")</f>
        <v>正常</v>
      </c>
      <c r="M47">
        <v>62</v>
      </c>
      <c r="N47">
        <v>0.09</v>
      </c>
      <c r="O47">
        <v>0.14000000000000001</v>
      </c>
      <c r="P47" t="str">
        <f>IF(OR(表1[[#This Row],[Competition]]&lt;0,表1[[#This Row],[Competition]]&gt;1),"异常","正常")</f>
        <v>正常</v>
      </c>
      <c r="Q47">
        <v>0</v>
      </c>
      <c r="R47" t="s">
        <v>100</v>
      </c>
      <c r="S47" s="1">
        <v>45674</v>
      </c>
      <c r="T47" s="1" t="str">
        <f>IF(ISNUMBER(表1[[#This Row],[Last Seen]]),"日期正确","需要清洗")</f>
        <v>日期正确</v>
      </c>
      <c r="U47">
        <v>80</v>
      </c>
      <c r="V47" s="1" t="str">
        <f>IF(OR(表1[[#This Row],[Keyword Difficulty]]&lt;0,表1[[#This Row],[Keyword Difficulty]]&gt;100),"异常","正常")</f>
        <v>正常</v>
      </c>
    </row>
    <row r="48" spans="1:22" x14ac:dyDescent="0.2">
      <c r="A48" t="s">
        <v>101</v>
      </c>
      <c r="B48" t="s">
        <v>102</v>
      </c>
      <c r="C48" s="1" t="str">
        <f>LOWER(CLEAN(TRIM(表1[[#This Row],[Keyword]])))</f>
        <v>togaf certification</v>
      </c>
      <c r="D48" s="1" t="str">
        <f>IF(COUNTIF(表1[Keyword_Clean],表1[[#This Row],[Keyword_Clean]])&gt;1,"唯一","重复")</f>
        <v>唯一</v>
      </c>
      <c r="E48">
        <v>2</v>
      </c>
      <c r="F48" t="str">
        <f>IF(OR(表1[[#This Row],[Position]]="",表1[[#This Row],[Position]]&lt;=0),"异常/空","正常")</f>
        <v>正常</v>
      </c>
      <c r="G48">
        <v>2</v>
      </c>
      <c r="H48">
        <v>1900</v>
      </c>
      <c r="I48">
        <v>2.34</v>
      </c>
      <c r="J48">
        <v>24</v>
      </c>
      <c r="K48">
        <v>0.12</v>
      </c>
      <c r="L48" t="str">
        <f>IF(OR(表1[[#This Row],[Traffic (%)]]&gt;=0,表1[[#This Row],[Traffic (%)]]&lt;=100),"正常","异常")</f>
        <v>正常</v>
      </c>
      <c r="M48">
        <v>56</v>
      </c>
      <c r="N48">
        <v>0.08</v>
      </c>
      <c r="O48">
        <v>0.52</v>
      </c>
      <c r="P48" t="str">
        <f>IF(OR(表1[[#This Row],[Competition]]&lt;0,表1[[#This Row],[Competition]]&gt;1),"异常","正常")</f>
        <v>正常</v>
      </c>
      <c r="Q48">
        <v>1440000</v>
      </c>
      <c r="R48" t="s">
        <v>103</v>
      </c>
      <c r="S48" s="1">
        <v>45677</v>
      </c>
      <c r="T48" s="1" t="str">
        <f>IF(ISNUMBER(表1[[#This Row],[Last Seen]]),"日期正确","需要清洗")</f>
        <v>日期正确</v>
      </c>
      <c r="U48">
        <v>43</v>
      </c>
      <c r="V48" s="1" t="str">
        <f>IF(OR(表1[[#This Row],[Keyword Difficulty]]&lt;0,表1[[#This Row],[Keyword Difficulty]]&gt;100),"异常","正常")</f>
        <v>正常</v>
      </c>
    </row>
    <row r="49" spans="1:22" x14ac:dyDescent="0.2">
      <c r="A49" t="s">
        <v>104</v>
      </c>
      <c r="B49" t="s">
        <v>105</v>
      </c>
      <c r="C49" s="1" t="str">
        <f>LOWER(CLEAN(TRIM(表1[[#This Row],[Keyword]])))</f>
        <v>pmp exam fee</v>
      </c>
      <c r="D49" s="1" t="str">
        <f>IF(COUNTIF(表1[Keyword_Clean],表1[[#This Row],[Keyword_Clean]])&gt;1,"唯一","重复")</f>
        <v>重复</v>
      </c>
      <c r="E49">
        <v>2</v>
      </c>
      <c r="F49" t="str">
        <f>IF(OR(表1[[#This Row],[Position]]="",表1[[#This Row],[Position]]&lt;=0),"异常/空","正常")</f>
        <v>正常</v>
      </c>
      <c r="G49">
        <v>2</v>
      </c>
      <c r="H49">
        <v>1900</v>
      </c>
      <c r="I49">
        <v>1.85</v>
      </c>
      <c r="J49">
        <v>24</v>
      </c>
      <c r="K49">
        <v>0.12</v>
      </c>
      <c r="L49" t="str">
        <f>IF(OR(表1[[#This Row],[Traffic (%)]]&gt;=0,表1[[#This Row],[Traffic (%)]]&lt;=100),"正常","异常")</f>
        <v>正常</v>
      </c>
      <c r="M49">
        <v>44</v>
      </c>
      <c r="N49">
        <v>0.06</v>
      </c>
      <c r="O49">
        <v>0.34</v>
      </c>
      <c r="P49" t="str">
        <f>IF(OR(表1[[#This Row],[Competition]]&lt;0,表1[[#This Row],[Competition]]&gt;1),"异常","正常")</f>
        <v>正常</v>
      </c>
      <c r="Q49">
        <v>8680000</v>
      </c>
      <c r="R49" t="s">
        <v>106</v>
      </c>
      <c r="S49" s="1">
        <v>45653</v>
      </c>
      <c r="T49" s="1" t="str">
        <f>IF(ISNUMBER(表1[[#This Row],[Last Seen]]),"日期正确","需要清洗")</f>
        <v>日期正确</v>
      </c>
      <c r="U49">
        <v>27</v>
      </c>
      <c r="V49" s="1" t="str">
        <f>IF(OR(表1[[#This Row],[Keyword Difficulty]]&lt;0,表1[[#This Row],[Keyword Difficulty]]&gt;100),"异常","正常")</f>
        <v>正常</v>
      </c>
    </row>
    <row r="50" spans="1:22" x14ac:dyDescent="0.2">
      <c r="A50" t="s">
        <v>107</v>
      </c>
      <c r="B50" t="s">
        <v>108</v>
      </c>
      <c r="C50" s="1" t="str">
        <f>LOWER(CLEAN(TRIM(表1[[#This Row],[Keyword]])))</f>
        <v>itil certifications</v>
      </c>
      <c r="D50" s="1" t="str">
        <f>IF(COUNTIF(表1[Keyword_Clean],表1[[#This Row],[Keyword_Clean]])&gt;1,"唯一","重复")</f>
        <v>重复</v>
      </c>
      <c r="E50">
        <v>4</v>
      </c>
      <c r="F50" t="str">
        <f>IF(OR(表1[[#This Row],[Position]]="",表1[[#This Row],[Position]]&lt;=0),"异常/空","正常")</f>
        <v>正常</v>
      </c>
      <c r="G50">
        <v>4</v>
      </c>
      <c r="H50">
        <v>2900</v>
      </c>
      <c r="I50">
        <v>2.33</v>
      </c>
      <c r="J50">
        <v>20</v>
      </c>
      <c r="K50">
        <v>0.1</v>
      </c>
      <c r="L50" t="str">
        <f>IF(OR(表1[[#This Row],[Traffic (%)]]&gt;=0,表1[[#This Row],[Traffic (%)]]&lt;=100),"正常","异常")</f>
        <v>正常</v>
      </c>
      <c r="M50">
        <v>46</v>
      </c>
      <c r="N50">
        <v>7.0000000000000007E-2</v>
      </c>
      <c r="O50">
        <v>0.49</v>
      </c>
      <c r="P50" t="str">
        <f>IF(OR(表1[[#This Row],[Competition]]&lt;0,表1[[#This Row],[Competition]]&gt;1),"异常","正常")</f>
        <v>正常</v>
      </c>
      <c r="Q50">
        <v>11300000</v>
      </c>
      <c r="R50" t="s">
        <v>109</v>
      </c>
      <c r="S50" s="1">
        <v>45682</v>
      </c>
      <c r="T50" s="1" t="str">
        <f>IF(ISNUMBER(表1[[#This Row],[Last Seen]]),"日期正确","需要清洗")</f>
        <v>日期正确</v>
      </c>
      <c r="U50">
        <v>63</v>
      </c>
      <c r="V50" s="1" t="str">
        <f>IF(OR(表1[[#This Row],[Keyword Difficulty]]&lt;0,表1[[#This Row],[Keyword Difficulty]]&gt;100),"异常","正常")</f>
        <v>正常</v>
      </c>
    </row>
    <row r="51" spans="1:22" x14ac:dyDescent="0.2">
      <c r="A51" t="s">
        <v>66</v>
      </c>
      <c r="B51" t="s">
        <v>67</v>
      </c>
      <c r="C51" s="1" t="str">
        <f>LOWER(CLEAN(TRIM(表1[[#This Row],[Keyword]])))</f>
        <v>simplilearn login</v>
      </c>
      <c r="D51" s="1" t="str">
        <f>IF(COUNTIF(表1[Keyword_Clean],表1[[#This Row],[Keyword_Clean]])&gt;1,"唯一","重复")</f>
        <v>唯一</v>
      </c>
      <c r="E51">
        <v>2</v>
      </c>
      <c r="F51" t="str">
        <f>IF(OR(表1[[#This Row],[Position]]="",表1[[#This Row],[Position]]&lt;=0),"异常/空","正常")</f>
        <v>正常</v>
      </c>
      <c r="G51">
        <v>2</v>
      </c>
      <c r="H51">
        <v>1600</v>
      </c>
      <c r="I51">
        <v>1.31</v>
      </c>
      <c r="J51">
        <v>20</v>
      </c>
      <c r="K51">
        <v>0.1</v>
      </c>
      <c r="L51" t="str">
        <f>IF(OR(表1[[#This Row],[Traffic (%)]]&gt;=0,表1[[#This Row],[Traffic (%)]]&lt;=100),"正常","异常")</f>
        <v>正常</v>
      </c>
      <c r="M51">
        <v>26</v>
      </c>
      <c r="N51">
        <v>0.04</v>
      </c>
      <c r="O51">
        <v>0.13</v>
      </c>
      <c r="P51" t="str">
        <f>IF(OR(表1[[#This Row],[Competition]]&lt;0,表1[[#This Row],[Competition]]&gt;1),"异常","正常")</f>
        <v>正常</v>
      </c>
      <c r="Q51">
        <v>75</v>
      </c>
      <c r="R51" t="s">
        <v>68</v>
      </c>
      <c r="S51" s="1">
        <v>45666</v>
      </c>
      <c r="T51" s="1" t="str">
        <f>IF(ISNUMBER(表1[[#This Row],[Last Seen]]),"日期正确","需要清洗")</f>
        <v>日期正确</v>
      </c>
      <c r="U51">
        <v>55</v>
      </c>
      <c r="V51" s="1" t="str">
        <f>IF(OR(表1[[#This Row],[Keyword Difficulty]]&lt;0,表1[[#This Row],[Keyword Difficulty]]&gt;100),"异常","正常")</f>
        <v>正常</v>
      </c>
    </row>
    <row r="52" spans="1:22" x14ac:dyDescent="0.2">
      <c r="A52" t="s">
        <v>61</v>
      </c>
      <c r="B52" t="s">
        <v>110</v>
      </c>
      <c r="C52" s="1" t="str">
        <f>LOWER(CLEAN(TRIM(表1[[#This Row],[Keyword]])))</f>
        <v>scaled agile framework certification</v>
      </c>
      <c r="D52" s="1" t="str">
        <f>IF(COUNTIF(表1[Keyword_Clean],表1[[#This Row],[Keyword_Clean]])&gt;1,"唯一","重复")</f>
        <v>唯一</v>
      </c>
      <c r="E52">
        <v>4</v>
      </c>
      <c r="F52" t="str">
        <f>IF(OR(表1[[#This Row],[Position]]="",表1[[#This Row],[Position]]&lt;=0),"异常/空","正常")</f>
        <v>正常</v>
      </c>
      <c r="G52">
        <v>4</v>
      </c>
      <c r="H52">
        <v>2900</v>
      </c>
      <c r="I52">
        <v>3.77</v>
      </c>
      <c r="J52">
        <v>20</v>
      </c>
      <c r="K52">
        <v>0.1</v>
      </c>
      <c r="L52" t="str">
        <f>IF(OR(表1[[#This Row],[Traffic (%)]]&gt;=0,表1[[#This Row],[Traffic (%)]]&lt;=100),"正常","异常")</f>
        <v>正常</v>
      </c>
      <c r="M52">
        <v>75</v>
      </c>
      <c r="N52">
        <v>0.11</v>
      </c>
      <c r="O52">
        <v>0.41</v>
      </c>
      <c r="P52" t="str">
        <f>IF(OR(表1[[#This Row],[Competition]]&lt;0,表1[[#This Row],[Competition]]&gt;1),"异常","正常")</f>
        <v>正常</v>
      </c>
      <c r="Q52">
        <v>5330000</v>
      </c>
      <c r="R52" t="s">
        <v>111</v>
      </c>
      <c r="S52" s="1">
        <v>45667</v>
      </c>
      <c r="T52" s="1" t="str">
        <f>IF(ISNUMBER(表1[[#This Row],[Last Seen]]),"日期正确","需要清洗")</f>
        <v>日期正确</v>
      </c>
      <c r="U52">
        <v>57</v>
      </c>
      <c r="V52" s="1" t="str">
        <f>IF(OR(表1[[#This Row],[Keyword Difficulty]]&lt;0,表1[[#This Row],[Keyword Difficulty]]&gt;100),"异常","正常")</f>
        <v>正常</v>
      </c>
    </row>
    <row r="53" spans="1:22" x14ac:dyDescent="0.2">
      <c r="A53" t="s">
        <v>82</v>
      </c>
      <c r="B53" t="s">
        <v>112</v>
      </c>
      <c r="C53" s="1" t="str">
        <f>LOWER(CLEAN(TRIM(表1[[#This Row],[Keyword]])))</f>
        <v>simlilearn</v>
      </c>
      <c r="D53" s="1" t="str">
        <f>IF(COUNTIF(表1[Keyword_Clean],表1[[#This Row],[Keyword_Clean]])&gt;1,"唯一","重复")</f>
        <v>重复</v>
      </c>
      <c r="E53">
        <v>1</v>
      </c>
      <c r="F53" t="str">
        <f>IF(OR(表1[[#This Row],[Position]]="",表1[[#This Row],[Position]]&lt;=0),"异常/空","正常")</f>
        <v>正常</v>
      </c>
      <c r="G53">
        <v>1</v>
      </c>
      <c r="H53">
        <v>390</v>
      </c>
      <c r="I53">
        <v>2.31</v>
      </c>
      <c r="J53">
        <v>18</v>
      </c>
      <c r="K53">
        <v>0.09</v>
      </c>
      <c r="L53" t="str">
        <f>IF(OR(表1[[#This Row],[Traffic (%)]]&gt;=0,表1[[#This Row],[Traffic (%)]]&lt;=100),"正常","异常")</f>
        <v>正常</v>
      </c>
      <c r="M53">
        <v>41</v>
      </c>
      <c r="N53">
        <v>0.06</v>
      </c>
      <c r="O53">
        <v>0.14000000000000001</v>
      </c>
      <c r="P53" t="str">
        <f>IF(OR(表1[[#This Row],[Competition]]&lt;0,表1[[#This Row],[Competition]]&gt;1),"异常","正常")</f>
        <v>正常</v>
      </c>
      <c r="Q53">
        <v>4380000</v>
      </c>
      <c r="R53" t="s">
        <v>113</v>
      </c>
      <c r="S53" s="1">
        <v>45663</v>
      </c>
      <c r="T53" s="1" t="str">
        <f>IF(ISNUMBER(表1[[#This Row],[Last Seen]]),"日期正确","需要清洗")</f>
        <v>日期正确</v>
      </c>
      <c r="U53">
        <v>70</v>
      </c>
      <c r="V53" s="1" t="str">
        <f>IF(OR(表1[[#This Row],[Keyword Difficulty]]&lt;0,表1[[#This Row],[Keyword Difficulty]]&gt;100),"异常","正常")</f>
        <v>正常</v>
      </c>
    </row>
    <row r="54" spans="1:22" x14ac:dyDescent="0.2">
      <c r="A54" t="s">
        <v>101</v>
      </c>
      <c r="B54" t="s">
        <v>114</v>
      </c>
      <c r="C54" s="1" t="str">
        <f>LOWER(CLEAN(TRIM(表1[[#This Row],[Keyword]])))</f>
        <v>togaf certified</v>
      </c>
      <c r="D54" s="1" t="str">
        <f>IF(COUNTIF(表1[Keyword_Clean],表1[[#This Row],[Keyword_Clean]])&gt;1,"唯一","重复")</f>
        <v>重复</v>
      </c>
      <c r="E54">
        <v>1</v>
      </c>
      <c r="F54" t="str">
        <f>IF(OR(表1[[#This Row],[Position]]="",表1[[#This Row],[Position]]&lt;=0),"异常/空","正常")</f>
        <v>正常</v>
      </c>
      <c r="G54">
        <v>1</v>
      </c>
      <c r="H54">
        <v>390</v>
      </c>
      <c r="I54">
        <v>2.35</v>
      </c>
      <c r="J54">
        <v>18</v>
      </c>
      <c r="K54">
        <v>0.09</v>
      </c>
      <c r="L54" t="str">
        <f>IF(OR(表1[[#This Row],[Traffic (%)]]&gt;=0,表1[[#This Row],[Traffic (%)]]&lt;=100),"正常","异常")</f>
        <v>正常</v>
      </c>
      <c r="M54">
        <v>42</v>
      </c>
      <c r="N54">
        <v>0.06</v>
      </c>
      <c r="O54">
        <v>0.41</v>
      </c>
      <c r="P54" t="str">
        <f>IF(OR(表1[[#This Row],[Competition]]&lt;0,表1[[#This Row],[Competition]]&gt;1),"异常","正常")</f>
        <v>正常</v>
      </c>
      <c r="Q54">
        <v>1460000</v>
      </c>
      <c r="R54" t="s">
        <v>115</v>
      </c>
      <c r="S54" s="1">
        <v>45654</v>
      </c>
      <c r="T54" s="1" t="str">
        <f>IF(ISNUMBER(表1[[#This Row],[Last Seen]]),"日期正确","需要清洗")</f>
        <v>日期正确</v>
      </c>
      <c r="U54">
        <v>50</v>
      </c>
      <c r="V54" s="1" t="str">
        <f>IF(OR(表1[[#This Row],[Keyword Difficulty]]&lt;0,表1[[#This Row],[Keyword Difficulty]]&gt;100),"异常","正常")</f>
        <v>正常</v>
      </c>
    </row>
    <row r="55" spans="1:22" x14ac:dyDescent="0.2">
      <c r="A55" t="s">
        <v>116</v>
      </c>
      <c r="B55" t="s">
        <v>117</v>
      </c>
      <c r="C55" s="1" t="str">
        <f>LOWER(CLEAN(TRIM(表1[[#This Row],[Keyword]])))</f>
        <v>amazon web service certification</v>
      </c>
      <c r="D55" s="1" t="str">
        <f>IF(COUNTIF(表1[Keyword_Clean],表1[[#This Row],[Keyword_Clean]])&gt;1,"唯一","重复")</f>
        <v>重复</v>
      </c>
      <c r="E55">
        <v>2</v>
      </c>
      <c r="F55" t="str">
        <f>IF(OR(表1[[#This Row],[Position]]="",表1[[#This Row],[Position]]&lt;=0),"异常/空","正常")</f>
        <v>正常</v>
      </c>
      <c r="G55">
        <v>2</v>
      </c>
      <c r="H55">
        <v>1300</v>
      </c>
      <c r="I55">
        <v>1.74</v>
      </c>
      <c r="J55">
        <v>16</v>
      </c>
      <c r="K55">
        <v>0.08</v>
      </c>
      <c r="L55" t="str">
        <f>IF(OR(表1[[#This Row],[Traffic (%)]]&gt;=0,表1[[#This Row],[Traffic (%)]]&lt;=100),"正常","异常")</f>
        <v>正常</v>
      </c>
      <c r="M55">
        <v>27</v>
      </c>
      <c r="N55">
        <v>0.04</v>
      </c>
      <c r="O55">
        <v>0.34</v>
      </c>
      <c r="P55" t="str">
        <f>IF(OR(表1[[#This Row],[Competition]]&lt;0,表1[[#This Row],[Competition]]&gt;1),"异常","正常")</f>
        <v>正常</v>
      </c>
      <c r="Q55">
        <v>318000000</v>
      </c>
      <c r="R55" t="s">
        <v>118</v>
      </c>
      <c r="S55" s="1">
        <v>45681</v>
      </c>
      <c r="T55" s="1" t="str">
        <f>IF(ISNUMBER(表1[[#This Row],[Last Seen]]),"日期正确","需要清洗")</f>
        <v>日期正确</v>
      </c>
      <c r="U55">
        <v>97</v>
      </c>
      <c r="V55" s="1" t="str">
        <f>IF(OR(表1[[#This Row],[Keyword Difficulty]]&lt;0,表1[[#This Row],[Keyword Difficulty]]&gt;100),"异常","正常")</f>
        <v>正常</v>
      </c>
    </row>
    <row r="56" spans="1:22" x14ac:dyDescent="0.2">
      <c r="A56" t="s">
        <v>18</v>
      </c>
      <c r="B56" t="s">
        <v>119</v>
      </c>
      <c r="C56" s="1" t="str">
        <f>LOWER(CLEAN(TRIM(表1[[#This Row],[Keyword]])))</f>
        <v>pmp practice exam free</v>
      </c>
      <c r="D56" s="1" t="str">
        <f>IF(COUNTIF(表1[Keyword_Clean],表1[[#This Row],[Keyword_Clean]])&gt;1,"唯一","重复")</f>
        <v>重复</v>
      </c>
      <c r="E56">
        <v>1</v>
      </c>
      <c r="F56" t="str">
        <f>IF(OR(表1[[#This Row],[Position]]="",表1[[#This Row],[Position]]&lt;=0),"异常/空","正常")</f>
        <v>正常</v>
      </c>
      <c r="G56">
        <v>1</v>
      </c>
      <c r="H56">
        <v>320</v>
      </c>
      <c r="I56">
        <v>1.5</v>
      </c>
      <c r="J56">
        <v>15</v>
      </c>
      <c r="K56">
        <v>0.08</v>
      </c>
      <c r="L56" t="str">
        <f>IF(OR(表1[[#This Row],[Traffic (%)]]&gt;=0,表1[[#This Row],[Traffic (%)]]&lt;=100),"正常","异常")</f>
        <v>正常</v>
      </c>
      <c r="M56">
        <v>22</v>
      </c>
      <c r="N56">
        <v>0.03</v>
      </c>
      <c r="O56">
        <v>0.43</v>
      </c>
      <c r="P56" t="str">
        <f>IF(OR(表1[[#This Row],[Competition]]&lt;0,表1[[#This Row],[Competition]]&gt;1),"异常","正常")</f>
        <v>正常</v>
      </c>
      <c r="Q56">
        <v>3230000</v>
      </c>
      <c r="R56" t="s">
        <v>120</v>
      </c>
      <c r="S56" s="1">
        <v>45658</v>
      </c>
      <c r="T56" s="1" t="str">
        <f>IF(ISNUMBER(表1[[#This Row],[Last Seen]]),"日期正确","需要清洗")</f>
        <v>日期正确</v>
      </c>
      <c r="U56">
        <v>29</v>
      </c>
      <c r="V56" s="1" t="str">
        <f>IF(OR(表1[[#This Row],[Keyword Difficulty]]&lt;0,表1[[#This Row],[Keyword Difficulty]]&gt;100),"异常","正常")</f>
        <v>正常</v>
      </c>
    </row>
    <row r="57" spans="1:22" x14ac:dyDescent="0.2">
      <c r="A57" t="s">
        <v>96</v>
      </c>
      <c r="B57" t="s">
        <v>121</v>
      </c>
      <c r="C57" s="1" t="str">
        <f>LOWER(CLEAN(TRIM(表1[[#This Row],[Keyword]])))</f>
        <v>pmp study course</v>
      </c>
      <c r="D57" s="1" t="str">
        <f>IF(COUNTIF(表1[Keyword_Clean],表1[[#This Row],[Keyword_Clean]])&gt;1,"唯一","重复")</f>
        <v>重复</v>
      </c>
      <c r="E57">
        <v>1</v>
      </c>
      <c r="F57" t="str">
        <f>IF(OR(表1[[#This Row],[Position]]="",表1[[#This Row],[Position]]&lt;=0),"异常/空","正常")</f>
        <v>正常</v>
      </c>
      <c r="G57">
        <v>1</v>
      </c>
      <c r="H57">
        <v>320</v>
      </c>
      <c r="I57">
        <v>8.9600000000000009</v>
      </c>
      <c r="J57">
        <v>15</v>
      </c>
      <c r="K57">
        <v>0.08</v>
      </c>
      <c r="L57" t="str">
        <f>IF(OR(表1[[#This Row],[Traffic (%)]]&gt;=0,表1[[#This Row],[Traffic (%)]]&lt;=100),"正常","异常")</f>
        <v>正常</v>
      </c>
      <c r="M57">
        <v>134</v>
      </c>
      <c r="N57">
        <v>0.2</v>
      </c>
      <c r="O57">
        <v>0.19</v>
      </c>
      <c r="P57" t="str">
        <f>IF(OR(表1[[#This Row],[Competition]]&lt;0,表1[[#This Row],[Competition]]&gt;1),"异常","正常")</f>
        <v>正常</v>
      </c>
      <c r="Q57">
        <v>35800000</v>
      </c>
      <c r="R57" t="s">
        <v>122</v>
      </c>
      <c r="S57" s="1">
        <v>45681</v>
      </c>
      <c r="T57" s="1" t="str">
        <f>IF(ISNUMBER(表1[[#This Row],[Last Seen]]),"日期正确","需要清洗")</f>
        <v>日期正确</v>
      </c>
      <c r="U57">
        <v>58</v>
      </c>
      <c r="V57" s="1" t="str">
        <f>IF(OR(表1[[#This Row],[Keyword Difficulty]]&lt;0,表1[[#This Row],[Keyword Difficulty]]&gt;100),"异常","正常")</f>
        <v>正常</v>
      </c>
    </row>
    <row r="58" spans="1:22" x14ac:dyDescent="0.2">
      <c r="A58" t="s">
        <v>123</v>
      </c>
      <c r="B58" t="s">
        <v>110</v>
      </c>
      <c r="C58" s="1" t="str">
        <f>LOWER(CLEAN(TRIM(表1[[#This Row],[Keyword]])))</f>
        <v>scaled agile framework certification</v>
      </c>
      <c r="D58" s="1" t="str">
        <f>IF(COUNTIF(表1[Keyword_Clean],表1[[#This Row],[Keyword_Clean]])&gt;1,"唯一","重复")</f>
        <v>唯一</v>
      </c>
      <c r="E58">
        <v>6</v>
      </c>
      <c r="F58" t="str">
        <f>IF(OR(表1[[#This Row],[Position]]="",表1[[#This Row],[Position]]&lt;=0),"异常/空","正常")</f>
        <v>正常</v>
      </c>
      <c r="G58">
        <v>6</v>
      </c>
      <c r="H58">
        <v>2900</v>
      </c>
      <c r="I58">
        <v>3.77</v>
      </c>
      <c r="J58">
        <v>14</v>
      </c>
      <c r="K58">
        <v>7.0000000000000007E-2</v>
      </c>
      <c r="L58" t="str">
        <f>IF(OR(表1[[#This Row],[Traffic (%)]]&gt;=0,表1[[#This Row],[Traffic (%)]]&lt;=100),"正常","异常")</f>
        <v>正常</v>
      </c>
      <c r="M58">
        <v>52</v>
      </c>
      <c r="N58">
        <v>0.08</v>
      </c>
      <c r="O58">
        <v>0.41</v>
      </c>
      <c r="P58" t="str">
        <f>IF(OR(表1[[#This Row],[Competition]]&lt;0,表1[[#This Row],[Competition]]&gt;1),"异常","正常")</f>
        <v>正常</v>
      </c>
      <c r="Q58">
        <v>5330000</v>
      </c>
      <c r="R58" t="s">
        <v>111</v>
      </c>
      <c r="S58" s="1">
        <v>45667</v>
      </c>
      <c r="T58" s="1" t="str">
        <f>IF(ISNUMBER(表1[[#This Row],[Last Seen]]),"日期正确","需要清洗")</f>
        <v>日期正确</v>
      </c>
      <c r="U58">
        <v>57</v>
      </c>
      <c r="V58" s="1" t="str">
        <f>IF(OR(表1[[#This Row],[Keyword Difficulty]]&lt;0,表1[[#This Row],[Keyword Difficulty]]&gt;100),"异常","正常")</f>
        <v>正常</v>
      </c>
    </row>
    <row r="59" spans="1:22" x14ac:dyDescent="0.2">
      <c r="A59" t="s">
        <v>32</v>
      </c>
      <c r="B59" t="s">
        <v>124</v>
      </c>
      <c r="C59" s="1" t="str">
        <f>LOWER(CLEAN(TRIM(表1[[#This Row],[Keyword]])))</f>
        <v>how to get pmp certification</v>
      </c>
      <c r="D59" s="1" t="str">
        <f>IF(COUNTIF(表1[Keyword_Clean],表1[[#This Row],[Keyword_Clean]])&gt;1,"唯一","重复")</f>
        <v>重复</v>
      </c>
      <c r="E59">
        <v>4</v>
      </c>
      <c r="F59" t="str">
        <f>IF(OR(表1[[#This Row],[Position]]="",表1[[#This Row],[Position]]&lt;=0),"异常/空","正常")</f>
        <v>正常</v>
      </c>
      <c r="G59">
        <v>4</v>
      </c>
      <c r="H59">
        <v>1900</v>
      </c>
      <c r="I59">
        <v>3.92</v>
      </c>
      <c r="J59">
        <v>13</v>
      </c>
      <c r="K59">
        <v>0.06</v>
      </c>
      <c r="L59" t="str">
        <f>IF(OR(表1[[#This Row],[Traffic (%)]]&gt;=0,表1[[#This Row],[Traffic (%)]]&lt;=100),"正常","异常")</f>
        <v>正常</v>
      </c>
      <c r="M59">
        <v>50</v>
      </c>
      <c r="N59">
        <v>7.0000000000000007E-2</v>
      </c>
      <c r="O59">
        <v>0.69</v>
      </c>
      <c r="P59" t="str">
        <f>IF(OR(表1[[#This Row],[Competition]]&lt;0,表1[[#This Row],[Competition]]&gt;1),"异常","正常")</f>
        <v>正常</v>
      </c>
      <c r="Q59">
        <v>39400000</v>
      </c>
      <c r="R59" t="s">
        <v>125</v>
      </c>
      <c r="S59" s="1">
        <v>45672</v>
      </c>
      <c r="T59" s="1" t="str">
        <f>IF(ISNUMBER(表1[[#This Row],[Last Seen]]),"日期正确","需要清洗")</f>
        <v>日期正确</v>
      </c>
      <c r="U59">
        <v>46</v>
      </c>
      <c r="V59" s="1" t="str">
        <f>IF(OR(表1[[#This Row],[Keyword Difficulty]]&lt;0,表1[[#This Row],[Keyword Difficulty]]&gt;100),"异常","正常")</f>
        <v>正常</v>
      </c>
    </row>
    <row r="60" spans="1:22" x14ac:dyDescent="0.2">
      <c r="A60" t="s">
        <v>126</v>
      </c>
      <c r="B60" t="s">
        <v>102</v>
      </c>
      <c r="C60" s="1" t="str">
        <f>LOWER(CLEAN(TRIM(表1[[#This Row],[Keyword]])))</f>
        <v>togaf certification</v>
      </c>
      <c r="D60" s="1" t="str">
        <f>IF(COUNTIF(表1[Keyword_Clean],表1[[#This Row],[Keyword_Clean]])&gt;1,"唯一","重复")</f>
        <v>唯一</v>
      </c>
      <c r="E60">
        <v>4</v>
      </c>
      <c r="F60" t="str">
        <f>IF(OR(表1[[#This Row],[Position]]="",表1[[#This Row],[Position]]&lt;=0),"异常/空","正常")</f>
        <v>正常</v>
      </c>
      <c r="G60">
        <v>4</v>
      </c>
      <c r="H60">
        <v>1900</v>
      </c>
      <c r="I60">
        <v>2.35</v>
      </c>
      <c r="J60">
        <v>13</v>
      </c>
      <c r="K60">
        <v>0.06</v>
      </c>
      <c r="L60" t="str">
        <f>IF(OR(表1[[#This Row],[Traffic (%)]]&gt;=0,表1[[#This Row],[Traffic (%)]]&lt;=100),"正常","异常")</f>
        <v>正常</v>
      </c>
      <c r="M60">
        <v>30</v>
      </c>
      <c r="N60">
        <v>0.04</v>
      </c>
      <c r="O60">
        <v>0.41</v>
      </c>
      <c r="P60" t="str">
        <f>IF(OR(表1[[#This Row],[Competition]]&lt;0,表1[[#This Row],[Competition]]&gt;1),"异常","正常")</f>
        <v>正常</v>
      </c>
      <c r="Q60">
        <v>1750000</v>
      </c>
      <c r="R60" t="s">
        <v>127</v>
      </c>
      <c r="S60" s="1">
        <v>45656</v>
      </c>
      <c r="T60" s="1" t="str">
        <f>IF(ISNUMBER(表1[[#This Row],[Last Seen]]),"日期正确","需要清洗")</f>
        <v>日期正确</v>
      </c>
      <c r="U60">
        <v>45</v>
      </c>
      <c r="V60" s="1" t="str">
        <f>IF(OR(表1[[#This Row],[Keyword Difficulty]]&lt;0,表1[[#This Row],[Keyword Difficulty]]&gt;100),"异常","正常")</f>
        <v>正常</v>
      </c>
    </row>
    <row r="61" spans="1:22" x14ac:dyDescent="0.2">
      <c r="A61" t="s">
        <v>128</v>
      </c>
      <c r="B61" t="s">
        <v>87</v>
      </c>
      <c r="C61" s="1" t="str">
        <f>LOWER(CLEAN(TRIM(表1[[#This Row],[Keyword]])))</f>
        <v>simply learn</v>
      </c>
      <c r="D61" s="1" t="str">
        <f>IF(COUNTIF(表1[Keyword_Clean],表1[[#This Row],[Keyword_Clean]])&gt;1,"唯一","重复")</f>
        <v>唯一</v>
      </c>
      <c r="E61">
        <v>2</v>
      </c>
      <c r="F61" t="str">
        <f>IF(OR(表1[[#This Row],[Position]]="",表1[[#This Row],[Position]]&lt;=0),"异常/空","正常")</f>
        <v>正常</v>
      </c>
      <c r="G61">
        <v>2</v>
      </c>
      <c r="H61">
        <v>1000</v>
      </c>
      <c r="I61">
        <v>2.31</v>
      </c>
      <c r="J61">
        <v>13</v>
      </c>
      <c r="K61">
        <v>0.06</v>
      </c>
      <c r="L61" t="str">
        <f>IF(OR(表1[[#This Row],[Traffic (%)]]&gt;=0,表1[[#This Row],[Traffic (%)]]&lt;=100),"正常","异常")</f>
        <v>正常</v>
      </c>
      <c r="M61">
        <v>30</v>
      </c>
      <c r="N61">
        <v>0.04</v>
      </c>
      <c r="O61">
        <v>0.14000000000000001</v>
      </c>
      <c r="P61" t="str">
        <f>IF(OR(表1[[#This Row],[Competition]]&lt;0,表1[[#This Row],[Competition]]&gt;1),"异常","正常")</f>
        <v>正常</v>
      </c>
      <c r="Q61">
        <v>4350000</v>
      </c>
      <c r="R61" t="s">
        <v>88</v>
      </c>
      <c r="S61" s="1">
        <v>45663</v>
      </c>
      <c r="T61" s="1" t="str">
        <f>IF(ISNUMBER(表1[[#This Row],[Last Seen]]),"日期正确","需要清洗")</f>
        <v>日期正确</v>
      </c>
      <c r="U61">
        <v>62</v>
      </c>
      <c r="V61" s="1" t="str">
        <f>IF(OR(表1[[#This Row],[Keyword Difficulty]]&lt;0,表1[[#This Row],[Keyword Difficulty]]&gt;100),"异常","正常")</f>
        <v>正常</v>
      </c>
    </row>
    <row r="62" spans="1:22" x14ac:dyDescent="0.2">
      <c r="A62" t="s">
        <v>128</v>
      </c>
      <c r="B62" t="s">
        <v>129</v>
      </c>
      <c r="C62" s="1" t="str">
        <f>LOWER(CLEAN(TRIM(表1[[#This Row],[Keyword]])))</f>
        <v>simplelern</v>
      </c>
      <c r="D62" s="1" t="str">
        <f>IF(COUNTIF(表1[Keyword_Clean],表1[[#This Row],[Keyword_Clean]])&gt;1,"唯一","重复")</f>
        <v>重复</v>
      </c>
      <c r="E62">
        <v>1</v>
      </c>
      <c r="F62" t="str">
        <f>IF(OR(表1[[#This Row],[Position]]="",表1[[#This Row],[Position]]&lt;=0),"异常/空","正常")</f>
        <v>正常</v>
      </c>
      <c r="G62">
        <v>1</v>
      </c>
      <c r="H62">
        <v>260</v>
      </c>
      <c r="I62">
        <v>1.88</v>
      </c>
      <c r="J62">
        <v>12</v>
      </c>
      <c r="K62">
        <v>0.06</v>
      </c>
      <c r="L62" t="str">
        <f>IF(OR(表1[[#This Row],[Traffic (%)]]&gt;=0,表1[[#This Row],[Traffic (%)]]&lt;=100),"正常","异常")</f>
        <v>正常</v>
      </c>
      <c r="M62">
        <v>22</v>
      </c>
      <c r="N62">
        <v>0.03</v>
      </c>
      <c r="O62">
        <v>0.16</v>
      </c>
      <c r="P62" t="str">
        <f>IF(OR(表1[[#This Row],[Competition]]&lt;0,表1[[#This Row],[Competition]]&gt;1),"异常","正常")</f>
        <v>正常</v>
      </c>
      <c r="Q62">
        <v>4570000</v>
      </c>
      <c r="R62" t="s">
        <v>130</v>
      </c>
      <c r="S62" s="1">
        <v>45658</v>
      </c>
      <c r="T62" s="1" t="str">
        <f>IF(ISNUMBER(表1[[#This Row],[Last Seen]]),"日期正确","需要清洗")</f>
        <v>日期正确</v>
      </c>
      <c r="U62">
        <v>48</v>
      </c>
      <c r="V62" s="1" t="str">
        <f>IF(OR(表1[[#This Row],[Keyword Difficulty]]&lt;0,表1[[#This Row],[Keyword Difficulty]]&gt;100),"异常","正常")</f>
        <v>正常</v>
      </c>
    </row>
    <row r="63" spans="1:22" x14ac:dyDescent="0.2">
      <c r="A63" t="s">
        <v>32</v>
      </c>
      <c r="B63" t="s">
        <v>131</v>
      </c>
      <c r="C63" s="1" t="str">
        <f>LOWER(CLEAN(TRIM(表1[[#This Row],[Keyword]])))</f>
        <v>pmp course</v>
      </c>
      <c r="D63" s="1" t="str">
        <f>IF(COUNTIF(表1[Keyword_Clean],表1[[#This Row],[Keyword_Clean]])&gt;1,"唯一","重复")</f>
        <v>重复</v>
      </c>
      <c r="E63">
        <v>5</v>
      </c>
      <c r="F63" t="str">
        <f>IF(OR(表1[[#This Row],[Position]]="",表1[[#This Row],[Position]]&lt;=0),"异常/空","正常")</f>
        <v>正常</v>
      </c>
      <c r="G63">
        <v>5</v>
      </c>
      <c r="H63">
        <v>2400</v>
      </c>
      <c r="I63">
        <v>7.22</v>
      </c>
      <c r="J63">
        <v>12</v>
      </c>
      <c r="K63">
        <v>0.06</v>
      </c>
      <c r="L63" t="str">
        <f>IF(OR(表1[[#This Row],[Traffic (%)]]&gt;=0,表1[[#This Row],[Traffic (%)]]&lt;=100),"正常","异常")</f>
        <v>正常</v>
      </c>
      <c r="M63">
        <v>86</v>
      </c>
      <c r="N63">
        <v>0.13</v>
      </c>
      <c r="O63">
        <v>0.69</v>
      </c>
      <c r="P63" t="str">
        <f>IF(OR(表1[[#This Row],[Competition]]&lt;0,表1[[#This Row],[Competition]]&gt;1),"异常","正常")</f>
        <v>正常</v>
      </c>
      <c r="Q63">
        <v>71600000</v>
      </c>
      <c r="R63" t="s">
        <v>132</v>
      </c>
      <c r="S63" s="1">
        <v>45680</v>
      </c>
      <c r="T63" s="1" t="str">
        <f>IF(ISNUMBER(表1[[#This Row],[Last Seen]]),"日期正确","需要清洗")</f>
        <v>日期正确</v>
      </c>
      <c r="U63">
        <v>70</v>
      </c>
      <c r="V63" s="1" t="str">
        <f>IF(OR(表1[[#This Row],[Keyword Difficulty]]&lt;0,表1[[#This Row],[Keyword Difficulty]]&gt;100),"异常","正常")</f>
        <v>正常</v>
      </c>
    </row>
    <row r="64" spans="1:22" x14ac:dyDescent="0.2">
      <c r="A64" t="s">
        <v>133</v>
      </c>
      <c r="B64" t="s">
        <v>134</v>
      </c>
      <c r="C64" s="1" t="str">
        <f>LOWER(CLEAN(TRIM(表1[[#This Row],[Keyword]])))</f>
        <v>login simplilearn</v>
      </c>
      <c r="D64" s="1" t="str">
        <f>IF(COUNTIF(表1[Keyword_Clean],表1[[#This Row],[Keyword_Clean]])&gt;1,"唯一","重复")</f>
        <v>重复</v>
      </c>
      <c r="E64">
        <v>1</v>
      </c>
      <c r="F64" t="str">
        <f>IF(OR(表1[[#This Row],[Position]]="",表1[[#This Row],[Position]]&lt;=0),"异常/空","正常")</f>
        <v>正常</v>
      </c>
      <c r="G64">
        <v>1</v>
      </c>
      <c r="H64">
        <v>260</v>
      </c>
      <c r="I64">
        <v>1.31</v>
      </c>
      <c r="J64">
        <v>12</v>
      </c>
      <c r="K64">
        <v>0.06</v>
      </c>
      <c r="L64" t="str">
        <f>IF(OR(表1[[#This Row],[Traffic (%)]]&gt;=0,表1[[#This Row],[Traffic (%)]]&lt;=100),"正常","异常")</f>
        <v>正常</v>
      </c>
      <c r="M64">
        <v>15</v>
      </c>
      <c r="N64">
        <v>0.02</v>
      </c>
      <c r="O64">
        <v>0.13</v>
      </c>
      <c r="P64" t="str">
        <f>IF(OR(表1[[#This Row],[Competition]]&lt;0,表1[[#This Row],[Competition]]&gt;1),"异常","正常")</f>
        <v>正常</v>
      </c>
      <c r="Q64">
        <v>1920000</v>
      </c>
      <c r="R64" t="s">
        <v>135</v>
      </c>
      <c r="S64" s="1">
        <v>45665</v>
      </c>
      <c r="T64" s="1" t="str">
        <f>IF(ISNUMBER(表1[[#This Row],[Last Seen]]),"日期正确","需要清洗")</f>
        <v>日期正确</v>
      </c>
      <c r="U64">
        <v>45</v>
      </c>
      <c r="V64" s="1" t="str">
        <f>IF(OR(表1[[#This Row],[Keyword Difficulty]]&lt;0,表1[[#This Row],[Keyword Difficulty]]&gt;100),"异常","正常")</f>
        <v>正常</v>
      </c>
    </row>
    <row r="65" spans="1:22" x14ac:dyDescent="0.2">
      <c r="A65" t="s">
        <v>77</v>
      </c>
      <c r="B65" t="s">
        <v>136</v>
      </c>
      <c r="C65" s="1" t="str">
        <f>LOWER(CLEAN(TRIM(表1[[#This Row],[Keyword]])))</f>
        <v>pmp test</v>
      </c>
      <c r="D65" s="1" t="str">
        <f>IF(COUNTIF(表1[Keyword_Clean],表1[[#This Row],[Keyword_Clean]])&gt;1,"唯一","重复")</f>
        <v>重复</v>
      </c>
      <c r="E65">
        <v>4</v>
      </c>
      <c r="F65" t="str">
        <f>IF(OR(表1[[#This Row],[Position]]="",表1[[#This Row],[Position]]&lt;=0),"异常/空","正常")</f>
        <v>正常</v>
      </c>
      <c r="G65">
        <v>4</v>
      </c>
      <c r="H65">
        <v>1600</v>
      </c>
      <c r="I65">
        <v>2.6</v>
      </c>
      <c r="J65">
        <v>11</v>
      </c>
      <c r="K65">
        <v>0.05</v>
      </c>
      <c r="L65" t="str">
        <f>IF(OR(表1[[#This Row],[Traffic (%)]]&gt;=0,表1[[#This Row],[Traffic (%)]]&lt;=100),"正常","异常")</f>
        <v>正常</v>
      </c>
      <c r="M65">
        <v>28</v>
      </c>
      <c r="N65">
        <v>0.04</v>
      </c>
      <c r="O65">
        <v>0.39</v>
      </c>
      <c r="P65" t="str">
        <f>IF(OR(表1[[#This Row],[Competition]]&lt;0,表1[[#This Row],[Competition]]&gt;1),"异常","正常")</f>
        <v>正常</v>
      </c>
      <c r="Q65">
        <v>51700000</v>
      </c>
      <c r="R65" t="s">
        <v>137</v>
      </c>
      <c r="S65" s="1">
        <v>45679</v>
      </c>
      <c r="T65" s="1" t="str">
        <f>IF(ISNUMBER(表1[[#This Row],[Last Seen]]),"日期正确","需要清洗")</f>
        <v>日期正确</v>
      </c>
      <c r="U65">
        <v>67</v>
      </c>
      <c r="V65" s="1" t="str">
        <f>IF(OR(表1[[#This Row],[Keyword Difficulty]]&lt;0,表1[[#This Row],[Keyword Difficulty]]&gt;100),"异常","正常")</f>
        <v>正常</v>
      </c>
    </row>
    <row r="66" spans="1:22" x14ac:dyDescent="0.2">
      <c r="A66" t="s">
        <v>133</v>
      </c>
      <c r="B66" t="s">
        <v>138</v>
      </c>
      <c r="C66" s="1" t="str">
        <f>LOWER(CLEAN(TRIM(表1[[#This Row],[Keyword]])))</f>
        <v>simplilern</v>
      </c>
      <c r="D66" s="1" t="str">
        <f>IF(COUNTIF(表1[Keyword_Clean],表1[[#This Row],[Keyword_Clean]])&gt;1,"唯一","重复")</f>
        <v>重复</v>
      </c>
      <c r="E66">
        <v>1</v>
      </c>
      <c r="F66" t="str">
        <f>IF(OR(表1[[#This Row],[Position]]="",表1[[#This Row],[Position]]&lt;=0),"异常/空","正常")</f>
        <v>正常</v>
      </c>
      <c r="G66">
        <v>1</v>
      </c>
      <c r="H66">
        <v>210</v>
      </c>
      <c r="I66">
        <v>2.31</v>
      </c>
      <c r="J66">
        <v>9</v>
      </c>
      <c r="K66">
        <v>0.04</v>
      </c>
      <c r="L66" t="str">
        <f>IF(OR(表1[[#This Row],[Traffic (%)]]&gt;=0,表1[[#This Row],[Traffic (%)]]&lt;=100),"正常","异常")</f>
        <v>正常</v>
      </c>
      <c r="M66">
        <v>20</v>
      </c>
      <c r="N66">
        <v>0.03</v>
      </c>
      <c r="O66">
        <v>0.14000000000000001</v>
      </c>
      <c r="P66" t="str">
        <f>IF(OR(表1[[#This Row],[Competition]]&lt;0,表1[[#This Row],[Competition]]&gt;1),"异常","正常")</f>
        <v>正常</v>
      </c>
      <c r="Q66">
        <v>4330000</v>
      </c>
      <c r="R66" t="s">
        <v>139</v>
      </c>
      <c r="S66" s="1">
        <v>45662</v>
      </c>
      <c r="T66" s="1" t="str">
        <f>IF(ISNUMBER(表1[[#This Row],[Last Seen]]),"日期正确","需要清洗")</f>
        <v>日期正确</v>
      </c>
      <c r="U66">
        <v>63</v>
      </c>
      <c r="V66" s="1" t="str">
        <f>IF(OR(表1[[#This Row],[Keyword Difficulty]]&lt;0,表1[[#This Row],[Keyword Difficulty]]&gt;100),"异常","正常")</f>
        <v>正常</v>
      </c>
    </row>
    <row r="67" spans="1:22" x14ac:dyDescent="0.2">
      <c r="A67" t="s">
        <v>61</v>
      </c>
      <c r="B67" t="s">
        <v>140</v>
      </c>
      <c r="C67" s="1" t="str">
        <f>LOWER(CLEAN(TRIM(表1[[#This Row],[Keyword]])))</f>
        <v>scale agile certification</v>
      </c>
      <c r="D67" s="1" t="str">
        <f>IF(COUNTIF(表1[Keyword_Clean],表1[[#This Row],[Keyword_Clean]])&gt;1,"唯一","重复")</f>
        <v>重复</v>
      </c>
      <c r="E67">
        <v>2</v>
      </c>
      <c r="F67" t="str">
        <f>IF(OR(表1[[#This Row],[Position]]="",表1[[#This Row],[Position]]&lt;=0),"异常/空","正常")</f>
        <v>正常</v>
      </c>
      <c r="G67">
        <v>0</v>
      </c>
      <c r="H67">
        <v>720</v>
      </c>
      <c r="I67">
        <v>3.77</v>
      </c>
      <c r="J67">
        <v>9</v>
      </c>
      <c r="K67">
        <v>0.04</v>
      </c>
      <c r="L67" t="str">
        <f>IF(OR(表1[[#This Row],[Traffic (%)]]&gt;=0,表1[[#This Row],[Traffic (%)]]&lt;=100),"正常","异常")</f>
        <v>正常</v>
      </c>
      <c r="M67">
        <v>33</v>
      </c>
      <c r="N67">
        <v>0.05</v>
      </c>
      <c r="O67">
        <v>0.41</v>
      </c>
      <c r="P67" t="str">
        <f>IF(OR(表1[[#This Row],[Competition]]&lt;0,表1[[#This Row],[Competition]]&gt;1),"异常","正常")</f>
        <v>正常</v>
      </c>
      <c r="Q67">
        <v>37100000</v>
      </c>
      <c r="R67" t="s">
        <v>141</v>
      </c>
      <c r="S67" s="1">
        <v>45683</v>
      </c>
      <c r="T67" s="1" t="str">
        <f>IF(ISNUMBER(表1[[#This Row],[Last Seen]]),"日期正确","需要清洗")</f>
        <v>日期正确</v>
      </c>
      <c r="U67">
        <v>44</v>
      </c>
      <c r="V67" s="1" t="str">
        <f>IF(OR(表1[[#This Row],[Keyword Difficulty]]&lt;0,表1[[#This Row],[Keyword Difficulty]]&gt;100),"异常","正常")</f>
        <v>正常</v>
      </c>
    </row>
    <row r="68" spans="1:22" x14ac:dyDescent="0.2">
      <c r="A68" t="s">
        <v>142</v>
      </c>
      <c r="B68" t="s">
        <v>143</v>
      </c>
      <c r="C68" s="1" t="str">
        <f>LOWER(CLEAN(TRIM(表1[[#This Row],[Keyword]])))</f>
        <v>aws practitioner certification</v>
      </c>
      <c r="D68" s="1" t="str">
        <f>IF(COUNTIF(表1[Keyword_Clean],表1[[#This Row],[Keyword_Clean]])&gt;1,"唯一","重复")</f>
        <v>重复</v>
      </c>
      <c r="E68">
        <v>3</v>
      </c>
      <c r="F68" t="str">
        <f>IF(OR(表1[[#This Row],[Position]]="",表1[[#This Row],[Position]]&lt;=0),"异常/空","正常")</f>
        <v>正常</v>
      </c>
      <c r="G68">
        <v>0</v>
      </c>
      <c r="H68">
        <v>1000</v>
      </c>
      <c r="I68">
        <v>1.5</v>
      </c>
      <c r="J68">
        <v>9</v>
      </c>
      <c r="K68">
        <v>0.04</v>
      </c>
      <c r="L68" t="str">
        <f>IF(OR(表1[[#This Row],[Traffic (%)]]&gt;=0,表1[[#This Row],[Traffic (%)]]&lt;=100),"正常","异常")</f>
        <v>正常</v>
      </c>
      <c r="M68">
        <v>13</v>
      </c>
      <c r="N68">
        <v>0.02</v>
      </c>
      <c r="O68">
        <v>0.41</v>
      </c>
      <c r="P68" t="str">
        <f>IF(OR(表1[[#This Row],[Competition]]&lt;0,表1[[#This Row],[Competition]]&gt;1),"异常","正常")</f>
        <v>正常</v>
      </c>
      <c r="Q68">
        <v>29200000</v>
      </c>
      <c r="R68" t="s">
        <v>144</v>
      </c>
      <c r="S68" s="1">
        <v>45683</v>
      </c>
      <c r="T68" s="1" t="str">
        <f>IF(ISNUMBER(表1[[#This Row],[Last Seen]]),"日期正确","需要清洗")</f>
        <v>日期正确</v>
      </c>
      <c r="U68">
        <v>78</v>
      </c>
      <c r="V68" s="1" t="str">
        <f>IF(OR(表1[[#This Row],[Keyword Difficulty]]&lt;0,表1[[#This Row],[Keyword Difficulty]]&gt;100),"异常","正常")</f>
        <v>正常</v>
      </c>
    </row>
    <row r="69" spans="1:22" x14ac:dyDescent="0.2">
      <c r="A69" t="s">
        <v>145</v>
      </c>
      <c r="B69" t="s">
        <v>102</v>
      </c>
      <c r="C69" s="1" t="str">
        <f>LOWER(CLEAN(TRIM(表1[[#This Row],[Keyword]])))</f>
        <v>togaf certification</v>
      </c>
      <c r="D69" s="1" t="str">
        <f>IF(COUNTIF(表1[Keyword_Clean],表1[[#This Row],[Keyword_Clean]])&gt;1,"唯一","重复")</f>
        <v>唯一</v>
      </c>
      <c r="E69">
        <v>6</v>
      </c>
      <c r="F69" t="str">
        <f>IF(OR(表1[[#This Row],[Position]]="",表1[[#This Row],[Position]]&lt;=0),"异常/空","正常")</f>
        <v>正常</v>
      </c>
      <c r="G69">
        <v>6</v>
      </c>
      <c r="H69">
        <v>1900</v>
      </c>
      <c r="I69">
        <v>2.34</v>
      </c>
      <c r="J69">
        <v>9</v>
      </c>
      <c r="K69">
        <v>0.04</v>
      </c>
      <c r="L69" t="str">
        <f>IF(OR(表1[[#This Row],[Traffic (%)]]&gt;=0,表1[[#This Row],[Traffic (%)]]&lt;=100),"正常","异常")</f>
        <v>正常</v>
      </c>
      <c r="M69">
        <v>21</v>
      </c>
      <c r="N69">
        <v>0.03</v>
      </c>
      <c r="O69">
        <v>0.52</v>
      </c>
      <c r="P69" t="str">
        <f>IF(OR(表1[[#This Row],[Competition]]&lt;0,表1[[#This Row],[Competition]]&gt;1),"异常","正常")</f>
        <v>正常</v>
      </c>
      <c r="Q69">
        <v>1440000</v>
      </c>
      <c r="R69" t="s">
        <v>103</v>
      </c>
      <c r="S69" s="1">
        <v>45677</v>
      </c>
      <c r="T69" s="1" t="str">
        <f>IF(ISNUMBER(表1[[#This Row],[Last Seen]]),"日期正确","需要清洗")</f>
        <v>日期正确</v>
      </c>
      <c r="U69">
        <v>43</v>
      </c>
      <c r="V69" s="1" t="str">
        <f>IF(OR(表1[[#This Row],[Keyword Difficulty]]&lt;0,表1[[#This Row],[Keyword Difficulty]]&gt;100),"异常","正常")</f>
        <v>正常</v>
      </c>
    </row>
    <row r="70" spans="1:22" x14ac:dyDescent="0.2">
      <c r="A70" t="s">
        <v>96</v>
      </c>
      <c r="B70" t="s">
        <v>146</v>
      </c>
      <c r="C70" s="1" t="str">
        <f>LOWER(CLEAN(TRIM(表1[[#This Row],[Keyword]])))</f>
        <v>pmi pmp certification</v>
      </c>
      <c r="D70" s="1" t="str">
        <f>IF(COUNTIF(表1[Keyword_Clean],表1[[#This Row],[Keyword_Clean]])&gt;1,"唯一","重复")</f>
        <v>重复</v>
      </c>
      <c r="E70">
        <v>2</v>
      </c>
      <c r="F70" t="str">
        <f>IF(OR(表1[[#This Row],[Position]]="",表1[[#This Row],[Position]]&lt;=0),"异常/空","正常")</f>
        <v>正常</v>
      </c>
      <c r="G70">
        <v>2</v>
      </c>
      <c r="H70">
        <v>720</v>
      </c>
      <c r="I70">
        <v>3.98</v>
      </c>
      <c r="J70">
        <v>9</v>
      </c>
      <c r="K70">
        <v>0.04</v>
      </c>
      <c r="L70" t="str">
        <f>IF(OR(表1[[#This Row],[Traffic (%)]]&gt;=0,表1[[#This Row],[Traffic (%)]]&lt;=100),"正常","异常")</f>
        <v>正常</v>
      </c>
      <c r="M70">
        <v>35</v>
      </c>
      <c r="N70">
        <v>0.05</v>
      </c>
      <c r="O70">
        <v>0.56999999999999995</v>
      </c>
      <c r="P70" t="str">
        <f>IF(OR(表1[[#This Row],[Competition]]&lt;0,表1[[#This Row],[Competition]]&gt;1),"异常","正常")</f>
        <v>正常</v>
      </c>
      <c r="Q70">
        <v>8920000</v>
      </c>
      <c r="R70" t="s">
        <v>147</v>
      </c>
      <c r="S70" s="1">
        <v>45670</v>
      </c>
      <c r="T70" s="1" t="str">
        <f>IF(ISNUMBER(表1[[#This Row],[Last Seen]]),"日期正确","需要清洗")</f>
        <v>日期正确</v>
      </c>
      <c r="U70">
        <v>70</v>
      </c>
      <c r="V70" s="1" t="str">
        <f>IF(OR(表1[[#This Row],[Keyword Difficulty]]&lt;0,表1[[#This Row],[Keyword Difficulty]]&gt;100),"异常","正常")</f>
        <v>正常</v>
      </c>
    </row>
    <row r="71" spans="1:22" x14ac:dyDescent="0.2">
      <c r="A71" t="s">
        <v>148</v>
      </c>
      <c r="B71" t="s">
        <v>149</v>
      </c>
      <c r="C71" s="1" t="str">
        <f>LOWER(CLEAN(TRIM(表1[[#This Row],[Keyword]])))</f>
        <v>togaf training</v>
      </c>
      <c r="D71" s="1" t="str">
        <f>IF(COUNTIF(表1[Keyword_Clean],表1[[#This Row],[Keyword_Clean]])&gt;1,"唯一","重复")</f>
        <v>重复</v>
      </c>
      <c r="E71">
        <v>1</v>
      </c>
      <c r="F71" t="str">
        <f>IF(OR(表1[[#This Row],[Position]]="",表1[[#This Row],[Position]]&lt;=0),"异常/空","正常")</f>
        <v>正常</v>
      </c>
      <c r="G71">
        <v>1</v>
      </c>
      <c r="H71">
        <v>210</v>
      </c>
      <c r="I71">
        <v>3.85</v>
      </c>
      <c r="J71">
        <v>9</v>
      </c>
      <c r="K71">
        <v>0.04</v>
      </c>
      <c r="L71" t="str">
        <f>IF(OR(表1[[#This Row],[Traffic (%)]]&gt;=0,表1[[#This Row],[Traffic (%)]]&lt;=100),"正常","异常")</f>
        <v>正常</v>
      </c>
      <c r="M71">
        <v>34</v>
      </c>
      <c r="N71">
        <v>0.05</v>
      </c>
      <c r="O71">
        <v>0.38</v>
      </c>
      <c r="P71" t="str">
        <f>IF(OR(表1[[#This Row],[Competition]]&lt;0,表1[[#This Row],[Competition]]&gt;1),"异常","正常")</f>
        <v>正常</v>
      </c>
      <c r="Q71">
        <v>4160000</v>
      </c>
      <c r="R71" t="s">
        <v>150</v>
      </c>
      <c r="S71" s="1">
        <v>45682</v>
      </c>
      <c r="T71" s="1" t="str">
        <f>IF(ISNUMBER(表1[[#This Row],[Last Seen]]),"日期正确","需要清洗")</f>
        <v>日期正确</v>
      </c>
      <c r="U71">
        <v>43</v>
      </c>
      <c r="V71" s="1" t="str">
        <f>IF(OR(表1[[#This Row],[Keyword Difficulty]]&lt;0,表1[[#This Row],[Keyword Difficulty]]&gt;100),"异常","正常")</f>
        <v>正常</v>
      </c>
    </row>
    <row r="72" spans="1:22" x14ac:dyDescent="0.2">
      <c r="A72" t="s">
        <v>66</v>
      </c>
      <c r="B72" t="s">
        <v>151</v>
      </c>
      <c r="C72" s="1" t="str">
        <f>LOWER(CLEAN(TRIM(表1[[#This Row],[Keyword]])))</f>
        <v>simpilearn</v>
      </c>
      <c r="D72" s="1" t="str">
        <f>IF(COUNTIF(表1[Keyword_Clean],表1[[#This Row],[Keyword_Clean]])&gt;1,"唯一","重复")</f>
        <v>重复</v>
      </c>
      <c r="E72">
        <v>1</v>
      </c>
      <c r="F72" t="str">
        <f>IF(OR(表1[[#This Row],[Position]]="",表1[[#This Row],[Position]]&lt;=0),"异常/空","正常")</f>
        <v>正常</v>
      </c>
      <c r="G72">
        <v>1</v>
      </c>
      <c r="H72">
        <v>170</v>
      </c>
      <c r="I72">
        <v>2.31</v>
      </c>
      <c r="J72">
        <v>7</v>
      </c>
      <c r="K72">
        <v>0.03</v>
      </c>
      <c r="L72" t="str">
        <f>IF(OR(表1[[#This Row],[Traffic (%)]]&gt;=0,表1[[#This Row],[Traffic (%)]]&lt;=100),"正常","异常")</f>
        <v>正常</v>
      </c>
      <c r="M72">
        <v>16</v>
      </c>
      <c r="N72">
        <v>0.02</v>
      </c>
      <c r="O72">
        <v>0.14000000000000001</v>
      </c>
      <c r="P72" t="str">
        <f>IF(OR(表1[[#This Row],[Competition]]&lt;0,表1[[#This Row],[Competition]]&gt;1),"异常","正常")</f>
        <v>正常</v>
      </c>
      <c r="Q72">
        <v>4260000</v>
      </c>
      <c r="R72" t="s">
        <v>152</v>
      </c>
      <c r="S72" s="1">
        <v>45679</v>
      </c>
      <c r="T72" s="1" t="str">
        <f>IF(ISNUMBER(表1[[#This Row],[Last Seen]]),"日期正确","需要清洗")</f>
        <v>日期正确</v>
      </c>
      <c r="U72">
        <v>49</v>
      </c>
      <c r="V72" s="1" t="str">
        <f>IF(OR(表1[[#This Row],[Keyword Difficulty]]&lt;0,表1[[#This Row],[Keyword Difficulty]]&gt;100),"异常","正常")</f>
        <v>正常</v>
      </c>
    </row>
    <row r="73" spans="1:22" x14ac:dyDescent="0.2">
      <c r="A73" t="s">
        <v>128</v>
      </c>
      <c r="B73" t="s">
        <v>99</v>
      </c>
      <c r="C73" s="1" t="str">
        <f>LOWER(CLEAN(TRIM(表1[[#This Row],[Keyword]])))</f>
        <v>simplylearn</v>
      </c>
      <c r="D73" s="1" t="str">
        <f>IF(COUNTIF(表1[Keyword_Clean],表1[[#This Row],[Keyword_Clean]])&gt;1,"唯一","重复")</f>
        <v>唯一</v>
      </c>
      <c r="E73">
        <v>2</v>
      </c>
      <c r="F73" t="str">
        <f>IF(OR(表1[[#This Row],[Position]]="",表1[[#This Row],[Position]]&lt;=0),"异常/空","正常")</f>
        <v>正常</v>
      </c>
      <c r="G73">
        <v>2</v>
      </c>
      <c r="H73">
        <v>590</v>
      </c>
      <c r="I73">
        <v>1.88</v>
      </c>
      <c r="J73">
        <v>7</v>
      </c>
      <c r="K73">
        <v>0.03</v>
      </c>
      <c r="L73" t="str">
        <f>IF(OR(表1[[#This Row],[Traffic (%)]]&gt;=0,表1[[#This Row],[Traffic (%)]]&lt;=100),"正常","异常")</f>
        <v>正常</v>
      </c>
      <c r="M73">
        <v>13</v>
      </c>
      <c r="N73">
        <v>0.02</v>
      </c>
      <c r="O73">
        <v>0.16</v>
      </c>
      <c r="P73" t="str">
        <f>IF(OR(表1[[#This Row],[Competition]]&lt;0,表1[[#This Row],[Competition]]&gt;1),"异常","正常")</f>
        <v>正常</v>
      </c>
      <c r="Q73">
        <v>4820000</v>
      </c>
      <c r="R73" t="s">
        <v>153</v>
      </c>
      <c r="S73" s="1">
        <v>45658</v>
      </c>
      <c r="T73" s="1" t="str">
        <f>IF(ISNUMBER(表1[[#This Row],[Last Seen]]),"日期正确","需要清洗")</f>
        <v>日期正确</v>
      </c>
      <c r="U73">
        <v>47</v>
      </c>
      <c r="V73" s="1" t="str">
        <f>IF(OR(表1[[#This Row],[Keyword Difficulty]]&lt;0,表1[[#This Row],[Keyword Difficulty]]&gt;100),"异常","正常")</f>
        <v>正常</v>
      </c>
    </row>
    <row r="74" spans="1:22" x14ac:dyDescent="0.2">
      <c r="A74" t="s">
        <v>154</v>
      </c>
      <c r="B74" t="s">
        <v>155</v>
      </c>
      <c r="C74" s="1" t="str">
        <f>LOWER(CLEAN(TRIM(表1[[#This Row],[Keyword]])))</f>
        <v>simplilearning</v>
      </c>
      <c r="D74" s="1" t="str">
        <f>IF(COUNTIF(表1[Keyword_Clean],表1[[#This Row],[Keyword_Clean]])&gt;1,"唯一","重复")</f>
        <v>重复</v>
      </c>
      <c r="E74">
        <v>1</v>
      </c>
      <c r="F74" t="str">
        <f>IF(OR(表1[[#This Row],[Position]]="",表1[[#This Row],[Position]]&lt;=0),"异常/空","正常")</f>
        <v>正常</v>
      </c>
      <c r="G74">
        <v>1</v>
      </c>
      <c r="H74">
        <v>170</v>
      </c>
      <c r="I74">
        <v>0</v>
      </c>
      <c r="J74">
        <v>7</v>
      </c>
      <c r="K74">
        <v>0.03</v>
      </c>
      <c r="L74" t="str">
        <f>IF(OR(表1[[#This Row],[Traffic (%)]]&gt;=0,表1[[#This Row],[Traffic (%)]]&lt;=100),"正常","异常")</f>
        <v>正常</v>
      </c>
      <c r="M74">
        <v>0</v>
      </c>
      <c r="N74">
        <v>0</v>
      </c>
      <c r="O74">
        <v>0</v>
      </c>
      <c r="P74" t="str">
        <f>IF(OR(表1[[#This Row],[Competition]]&lt;0,表1[[#This Row],[Competition]]&gt;1),"异常","正常")</f>
        <v>正常</v>
      </c>
      <c r="Q74">
        <v>4240000</v>
      </c>
      <c r="R74" t="s">
        <v>156</v>
      </c>
      <c r="S74" s="1">
        <v>45670</v>
      </c>
      <c r="T74" s="1" t="str">
        <f>IF(ISNUMBER(表1[[#This Row],[Last Seen]]),"日期正确","需要清洗")</f>
        <v>日期正确</v>
      </c>
      <c r="U74">
        <v>78</v>
      </c>
      <c r="V74" s="1" t="str">
        <f>IF(OR(表1[[#This Row],[Keyword Difficulty]]&lt;0,表1[[#This Row],[Keyword Difficulty]]&gt;100),"异常","正常")</f>
        <v>正常</v>
      </c>
    </row>
    <row r="75" spans="1:22" x14ac:dyDescent="0.2">
      <c r="A75" t="s">
        <v>157</v>
      </c>
      <c r="B75" t="s">
        <v>158</v>
      </c>
      <c r="C75" s="1" t="str">
        <f>LOWER(CLEAN(TRIM(表1[[#This Row],[Keyword]])))</f>
        <v>scrum master certification free</v>
      </c>
      <c r="D75" s="1" t="str">
        <f>IF(COUNTIF(表1[Keyword_Clean],表1[[#This Row],[Keyword_Clean]])&gt;1,"唯一","重复")</f>
        <v>重复</v>
      </c>
      <c r="E75">
        <v>4</v>
      </c>
      <c r="F75" t="str">
        <f>IF(OR(表1[[#This Row],[Position]]="",表1[[#This Row],[Position]]&lt;=0),"异常/空","正常")</f>
        <v>正常</v>
      </c>
      <c r="G75">
        <v>4</v>
      </c>
      <c r="H75">
        <v>1000</v>
      </c>
      <c r="I75">
        <v>1.79</v>
      </c>
      <c r="J75">
        <v>7</v>
      </c>
      <c r="K75">
        <v>0.03</v>
      </c>
      <c r="L75" t="str">
        <f>IF(OR(表1[[#This Row],[Traffic (%)]]&gt;=0,表1[[#This Row],[Traffic (%)]]&lt;=100),"正常","异常")</f>
        <v>正常</v>
      </c>
      <c r="M75">
        <v>12</v>
      </c>
      <c r="N75">
        <v>0.01</v>
      </c>
      <c r="O75">
        <v>0.55000000000000004</v>
      </c>
      <c r="P75" t="str">
        <f>IF(OR(表1[[#This Row],[Competition]]&lt;0,表1[[#This Row],[Competition]]&gt;1),"异常","正常")</f>
        <v>正常</v>
      </c>
      <c r="Q75">
        <v>4570000</v>
      </c>
      <c r="R75" t="s">
        <v>159</v>
      </c>
      <c r="S75" s="1">
        <v>45663</v>
      </c>
      <c r="T75" s="1" t="str">
        <f>IF(ISNUMBER(表1[[#This Row],[Last Seen]]),"日期正确","需要清洗")</f>
        <v>日期正确</v>
      </c>
      <c r="U75">
        <v>42</v>
      </c>
      <c r="V75" s="1" t="str">
        <f>IF(OR(表1[[#This Row],[Keyword Difficulty]]&lt;0,表1[[#This Row],[Keyword Difficulty]]&gt;100),"异常","正常")</f>
        <v>正常</v>
      </c>
    </row>
    <row r="76" spans="1:22" x14ac:dyDescent="0.2">
      <c r="A76" t="s">
        <v>160</v>
      </c>
      <c r="B76" t="s">
        <v>161</v>
      </c>
      <c r="C76" s="1" t="str">
        <f>LOWER(CLEAN(TRIM(表1[[#This Row],[Keyword]])))</f>
        <v>togaf certifications</v>
      </c>
      <c r="D76" s="1" t="str">
        <f>IF(COUNTIF(表1[Keyword_Clean],表1[[#This Row],[Keyword_Clean]])&gt;1,"唯一","重复")</f>
        <v>重复</v>
      </c>
      <c r="E76">
        <v>1</v>
      </c>
      <c r="F76" t="str">
        <f>IF(OR(表1[[#This Row],[Position]]="",表1[[#This Row],[Position]]&lt;=0),"异常/空","正常")</f>
        <v>正常</v>
      </c>
      <c r="G76">
        <v>1</v>
      </c>
      <c r="H76">
        <v>140</v>
      </c>
      <c r="I76">
        <v>2.35</v>
      </c>
      <c r="J76">
        <v>6</v>
      </c>
      <c r="K76">
        <v>0.03</v>
      </c>
      <c r="L76" t="str">
        <f>IF(OR(表1[[#This Row],[Traffic (%)]]&gt;=0,表1[[#This Row],[Traffic (%)]]&lt;=100),"正常","异常")</f>
        <v>正常</v>
      </c>
      <c r="M76">
        <v>14</v>
      </c>
      <c r="N76">
        <v>0.02</v>
      </c>
      <c r="O76">
        <v>0.41</v>
      </c>
      <c r="P76" t="str">
        <f>IF(OR(表1[[#This Row],[Competition]]&lt;0,表1[[#This Row],[Competition]]&gt;1),"异常","正常")</f>
        <v>正常</v>
      </c>
      <c r="Q76">
        <v>2880000</v>
      </c>
      <c r="R76" t="s">
        <v>162</v>
      </c>
      <c r="S76" s="1">
        <v>45658</v>
      </c>
      <c r="T76" s="1" t="str">
        <f>IF(ISNUMBER(表1[[#This Row],[Last Seen]]),"日期正确","需要清洗")</f>
        <v>日期正确</v>
      </c>
      <c r="U76">
        <v>51</v>
      </c>
      <c r="V76" s="1" t="str">
        <f>IF(OR(表1[[#This Row],[Keyword Difficulty]]&lt;0,表1[[#This Row],[Keyword Difficulty]]&gt;100),"异常","正常")</f>
        <v>正常</v>
      </c>
    </row>
    <row r="77" spans="1:22" x14ac:dyDescent="0.2">
      <c r="A77" t="s">
        <v>66</v>
      </c>
      <c r="B77" t="s">
        <v>163</v>
      </c>
      <c r="C77" s="1" t="str">
        <f>LOWER(CLEAN(TRIM(表1[[#This Row],[Keyword]])))</f>
        <v>smplilearn</v>
      </c>
      <c r="D77" s="1" t="str">
        <f>IF(COUNTIF(表1[Keyword_Clean],表1[[#This Row],[Keyword_Clean]])&gt;1,"唯一","重复")</f>
        <v>唯一</v>
      </c>
      <c r="E77">
        <v>1</v>
      </c>
      <c r="F77" t="str">
        <f>IF(OR(表1[[#This Row],[Position]]="",表1[[#This Row],[Position]]&lt;=0),"异常/空","正常")</f>
        <v>正常</v>
      </c>
      <c r="G77">
        <v>1</v>
      </c>
      <c r="H77">
        <v>140</v>
      </c>
      <c r="I77">
        <v>2.31</v>
      </c>
      <c r="J77">
        <v>6</v>
      </c>
      <c r="K77">
        <v>0.03</v>
      </c>
      <c r="L77" t="str">
        <f>IF(OR(表1[[#This Row],[Traffic (%)]]&gt;=0,表1[[#This Row],[Traffic (%)]]&lt;=100),"正常","异常")</f>
        <v>正常</v>
      </c>
      <c r="M77">
        <v>13</v>
      </c>
      <c r="N77">
        <v>0.02</v>
      </c>
      <c r="O77">
        <v>0.14000000000000001</v>
      </c>
      <c r="P77" t="str">
        <f>IF(OR(表1[[#This Row],[Competition]]&lt;0,表1[[#This Row],[Competition]]&gt;1),"异常","正常")</f>
        <v>正常</v>
      </c>
      <c r="Q77">
        <v>4210000</v>
      </c>
      <c r="R77" t="s">
        <v>164</v>
      </c>
      <c r="S77" s="1">
        <v>45679</v>
      </c>
      <c r="T77" s="1" t="str">
        <f>IF(ISNUMBER(表1[[#This Row],[Last Seen]]),"日期正确","需要清洗")</f>
        <v>日期正确</v>
      </c>
      <c r="U77">
        <v>49</v>
      </c>
      <c r="V77" s="1" t="str">
        <f>IF(OR(表1[[#This Row],[Keyword Difficulty]]&lt;0,表1[[#This Row],[Keyword Difficulty]]&gt;100),"异常","正常")</f>
        <v>正常</v>
      </c>
    </row>
    <row r="78" spans="1:22" x14ac:dyDescent="0.2">
      <c r="A78" t="s">
        <v>36</v>
      </c>
      <c r="B78" t="s">
        <v>165</v>
      </c>
      <c r="C78" s="1" t="str">
        <f>LOWER(CLEAN(TRIM(表1[[#This Row],[Keyword]])))</f>
        <v>simplileaern</v>
      </c>
      <c r="D78" s="1" t="str">
        <f>IF(COUNTIF(表1[Keyword_Clean],表1[[#This Row],[Keyword_Clean]])&gt;1,"唯一","重复")</f>
        <v>唯一</v>
      </c>
      <c r="E78">
        <v>1</v>
      </c>
      <c r="F78" t="str">
        <f>IF(OR(表1[[#This Row],[Position]]="",表1[[#This Row],[Position]]&lt;=0),"异常/空","正常")</f>
        <v>正常</v>
      </c>
      <c r="G78">
        <v>1</v>
      </c>
      <c r="H78">
        <v>140</v>
      </c>
      <c r="I78">
        <v>2.31</v>
      </c>
      <c r="J78">
        <v>6</v>
      </c>
      <c r="K78">
        <v>0.03</v>
      </c>
      <c r="L78" t="str">
        <f>IF(OR(表1[[#This Row],[Traffic (%)]]&gt;=0,表1[[#This Row],[Traffic (%)]]&lt;=100),"正常","异常")</f>
        <v>正常</v>
      </c>
      <c r="M78">
        <v>13</v>
      </c>
      <c r="N78">
        <v>0.02</v>
      </c>
      <c r="O78">
        <v>0.14000000000000001</v>
      </c>
      <c r="P78" t="str">
        <f>IF(OR(表1[[#This Row],[Competition]]&lt;0,表1[[#This Row],[Competition]]&gt;1),"异常","正常")</f>
        <v>正常</v>
      </c>
      <c r="Q78">
        <v>4480000</v>
      </c>
      <c r="R78" t="s">
        <v>166</v>
      </c>
      <c r="S78" s="1">
        <v>45675</v>
      </c>
      <c r="T78" s="1" t="str">
        <f>IF(ISNUMBER(表1[[#This Row],[Last Seen]]),"日期正确","需要清洗")</f>
        <v>日期正确</v>
      </c>
      <c r="U78">
        <v>38</v>
      </c>
      <c r="V78" s="1" t="str">
        <f>IF(OR(表1[[#This Row],[Keyword Difficulty]]&lt;0,表1[[#This Row],[Keyword Difficulty]]&gt;100),"异常","正常")</f>
        <v>正常</v>
      </c>
    </row>
    <row r="79" spans="1:22" x14ac:dyDescent="0.2">
      <c r="A79" t="s">
        <v>128</v>
      </c>
      <c r="B79" t="s">
        <v>167</v>
      </c>
      <c r="C79" s="1" t="str">
        <f>LOWER(CLEAN(TRIM(表1[[#This Row],[Keyword]])))</f>
        <v>simplileanr</v>
      </c>
      <c r="D79" s="1" t="str">
        <f>IF(COUNTIF(表1[Keyword_Clean],表1[[#This Row],[Keyword_Clean]])&gt;1,"唯一","重复")</f>
        <v>重复</v>
      </c>
      <c r="E79">
        <v>1</v>
      </c>
      <c r="F79" t="str">
        <f>IF(OR(表1[[#This Row],[Position]]="",表1[[#This Row],[Position]]&lt;=0),"异常/空","正常")</f>
        <v>正常</v>
      </c>
      <c r="G79">
        <v>1</v>
      </c>
      <c r="H79">
        <v>140</v>
      </c>
      <c r="I79">
        <v>2.31</v>
      </c>
      <c r="J79">
        <v>6</v>
      </c>
      <c r="K79">
        <v>0.03</v>
      </c>
      <c r="L79" t="str">
        <f>IF(OR(表1[[#This Row],[Traffic (%)]]&gt;=0,表1[[#This Row],[Traffic (%)]]&lt;=100),"正常","异常")</f>
        <v>正常</v>
      </c>
      <c r="M79">
        <v>13</v>
      </c>
      <c r="N79">
        <v>0.02</v>
      </c>
      <c r="O79">
        <v>0.14000000000000001</v>
      </c>
      <c r="P79" t="str">
        <f>IF(OR(表1[[#This Row],[Competition]]&lt;0,表1[[#This Row],[Competition]]&gt;1),"异常","正常")</f>
        <v>正常</v>
      </c>
      <c r="Q79">
        <v>4340000</v>
      </c>
      <c r="R79" t="s">
        <v>166</v>
      </c>
      <c r="S79" s="1">
        <v>45676</v>
      </c>
      <c r="T79" s="1" t="str">
        <f>IF(ISNUMBER(表1[[#This Row],[Last Seen]]),"日期正确","需要清洗")</f>
        <v>日期正确</v>
      </c>
      <c r="U79">
        <v>49</v>
      </c>
      <c r="V79" s="1" t="str">
        <f>IF(OR(表1[[#This Row],[Keyword Difficulty]]&lt;0,表1[[#This Row],[Keyword Difficulty]]&gt;100),"异常","正常")</f>
        <v>正常</v>
      </c>
    </row>
    <row r="80" spans="1:22" x14ac:dyDescent="0.2">
      <c r="A80" t="s">
        <v>168</v>
      </c>
      <c r="B80" t="s">
        <v>169</v>
      </c>
      <c r="C80" s="1" t="str">
        <f>LOWER(CLEAN(TRIM(表1[[#This Row],[Keyword]])))</f>
        <v>certified scrum certification</v>
      </c>
      <c r="D80" s="1" t="str">
        <f>IF(COUNTIF(表1[Keyword_Clean],表1[[#This Row],[Keyword_Clean]])&gt;1,"唯一","重复")</f>
        <v>重复</v>
      </c>
      <c r="E80">
        <v>4</v>
      </c>
      <c r="F80" t="str">
        <f>IF(OR(表1[[#This Row],[Position]]="",表1[[#This Row],[Position]]&lt;=0),"异常/空","正常")</f>
        <v>正常</v>
      </c>
      <c r="G80">
        <v>4</v>
      </c>
      <c r="H80">
        <v>880</v>
      </c>
      <c r="I80">
        <v>3.01</v>
      </c>
      <c r="J80">
        <v>6</v>
      </c>
      <c r="K80">
        <v>0.03</v>
      </c>
      <c r="L80" t="str">
        <f>IF(OR(表1[[#This Row],[Traffic (%)]]&gt;=0,表1[[#This Row],[Traffic (%)]]&lt;=100),"正常","异常")</f>
        <v>正常</v>
      </c>
      <c r="M80">
        <v>18</v>
      </c>
      <c r="N80">
        <v>0.02</v>
      </c>
      <c r="O80">
        <v>0.56000000000000005</v>
      </c>
      <c r="P80" t="str">
        <f>IF(OR(表1[[#This Row],[Competition]]&lt;0,表1[[#This Row],[Competition]]&gt;1),"异常","正常")</f>
        <v>正常</v>
      </c>
      <c r="Q80">
        <v>6460000</v>
      </c>
      <c r="R80" t="s">
        <v>170</v>
      </c>
      <c r="S80" s="1">
        <v>45667</v>
      </c>
      <c r="T80" s="1" t="str">
        <f>IF(ISNUMBER(表1[[#This Row],[Last Seen]]),"日期正确","需要清洗")</f>
        <v>日期正确</v>
      </c>
      <c r="U80">
        <v>73</v>
      </c>
      <c r="V80" s="1" t="str">
        <f>IF(OR(表1[[#This Row],[Keyword Difficulty]]&lt;0,表1[[#This Row],[Keyword Difficulty]]&gt;100),"异常","正常")</f>
        <v>正常</v>
      </c>
    </row>
    <row r="81" spans="1:22" x14ac:dyDescent="0.2">
      <c r="A81" t="s">
        <v>171</v>
      </c>
      <c r="B81" t="s">
        <v>172</v>
      </c>
      <c r="C81" s="1" t="str">
        <f>LOWER(CLEAN(TRIM(表1[[#This Row],[Keyword]])))</f>
        <v>simpllearn</v>
      </c>
      <c r="D81" s="1" t="str">
        <f>IF(COUNTIF(表1[Keyword_Clean],表1[[#This Row],[Keyword_Clean]])&gt;1,"唯一","重复")</f>
        <v>重复</v>
      </c>
      <c r="E81">
        <v>1</v>
      </c>
      <c r="F81" t="str">
        <f>IF(OR(表1[[#This Row],[Position]]="",表1[[#This Row],[Position]]&lt;=0),"异常/空","正常")</f>
        <v>正常</v>
      </c>
      <c r="G81">
        <v>1</v>
      </c>
      <c r="H81">
        <v>140</v>
      </c>
      <c r="I81">
        <v>2.31</v>
      </c>
      <c r="J81">
        <v>6</v>
      </c>
      <c r="K81">
        <v>0.03</v>
      </c>
      <c r="L81" t="str">
        <f>IF(OR(表1[[#This Row],[Traffic (%)]]&gt;=0,表1[[#This Row],[Traffic (%)]]&lt;=100),"正常","异常")</f>
        <v>正常</v>
      </c>
      <c r="M81">
        <v>13</v>
      </c>
      <c r="N81">
        <v>0.02</v>
      </c>
      <c r="O81">
        <v>0.14000000000000001</v>
      </c>
      <c r="P81" t="str">
        <f>IF(OR(表1[[#This Row],[Competition]]&lt;0,表1[[#This Row],[Competition]]&gt;1),"异常","正常")</f>
        <v>正常</v>
      </c>
      <c r="Q81">
        <v>4210000</v>
      </c>
      <c r="R81" t="s">
        <v>173</v>
      </c>
      <c r="S81" s="1">
        <v>45672</v>
      </c>
      <c r="T81" s="1" t="str">
        <f>IF(ISNUMBER(表1[[#This Row],[Last Seen]]),"日期正确","需要清洗")</f>
        <v>日期正确</v>
      </c>
      <c r="U81">
        <v>54</v>
      </c>
      <c r="V81" s="1" t="str">
        <f>IF(OR(表1[[#This Row],[Keyword Difficulty]]&lt;0,表1[[#This Row],[Keyword Difficulty]]&gt;100),"异常","正常")</f>
        <v>正常</v>
      </c>
    </row>
    <row r="82" spans="1:22" x14ac:dyDescent="0.2">
      <c r="A82" t="s">
        <v>32</v>
      </c>
      <c r="B82" t="s">
        <v>174</v>
      </c>
      <c r="C82" s="1" t="str">
        <f>LOWER(CLEAN(TRIM(表1[[#This Row],[Keyword]])))</f>
        <v>pmp certification training</v>
      </c>
      <c r="D82" s="1" t="str">
        <f>IF(COUNTIF(表1[Keyword_Clean],表1[[#This Row],[Keyword_Clean]])&gt;1,"唯一","重复")</f>
        <v>重复</v>
      </c>
      <c r="E82">
        <v>5</v>
      </c>
      <c r="F82" t="str">
        <f>IF(OR(表1[[#This Row],[Position]]="",表1[[#This Row],[Position]]&lt;=0),"异常/空","正常")</f>
        <v>正常</v>
      </c>
      <c r="G82">
        <v>5</v>
      </c>
      <c r="H82">
        <v>1300</v>
      </c>
      <c r="I82">
        <v>9.39</v>
      </c>
      <c r="J82">
        <v>6</v>
      </c>
      <c r="K82">
        <v>0.03</v>
      </c>
      <c r="L82" t="str">
        <f>IF(OR(表1[[#This Row],[Traffic (%)]]&gt;=0,表1[[#This Row],[Traffic (%)]]&lt;=100),"正常","异常")</f>
        <v>正常</v>
      </c>
      <c r="M82">
        <v>56</v>
      </c>
      <c r="N82">
        <v>0.08</v>
      </c>
      <c r="O82">
        <v>0.42</v>
      </c>
      <c r="P82" t="str">
        <f>IF(OR(表1[[#This Row],[Competition]]&lt;0,表1[[#This Row],[Competition]]&gt;1),"异常","正常")</f>
        <v>正常</v>
      </c>
      <c r="Q82">
        <v>209000000</v>
      </c>
      <c r="R82" t="s">
        <v>175</v>
      </c>
      <c r="S82" s="1">
        <v>45681</v>
      </c>
      <c r="T82" s="1" t="str">
        <f>IF(ISNUMBER(表1[[#This Row],[Last Seen]]),"日期正确","需要清洗")</f>
        <v>日期正确</v>
      </c>
      <c r="U82">
        <v>70</v>
      </c>
      <c r="V82" s="1" t="str">
        <f>IF(OR(表1[[#This Row],[Keyword Difficulty]]&lt;0,表1[[#This Row],[Keyword Difficulty]]&gt;100),"异常","正常")</f>
        <v>正常</v>
      </c>
    </row>
    <row r="83" spans="1:22" x14ac:dyDescent="0.2">
      <c r="A83" t="s">
        <v>36</v>
      </c>
      <c r="B83" t="s">
        <v>176</v>
      </c>
      <c r="C83" s="1" t="str">
        <f>LOWER(CLEAN(TRIM(表1[[#This Row],[Keyword]])))</f>
        <v>simplilarn</v>
      </c>
      <c r="D83" s="1" t="str">
        <f>IF(COUNTIF(表1[Keyword_Clean],表1[[#This Row],[Keyword_Clean]])&gt;1,"唯一","重复")</f>
        <v>重复</v>
      </c>
      <c r="E83">
        <v>1</v>
      </c>
      <c r="F83" t="str">
        <f>IF(OR(表1[[#This Row],[Position]]="",表1[[#This Row],[Position]]&lt;=0),"异常/空","正常")</f>
        <v>正常</v>
      </c>
      <c r="G83">
        <v>1</v>
      </c>
      <c r="H83">
        <v>110</v>
      </c>
      <c r="I83">
        <v>1.88</v>
      </c>
      <c r="J83">
        <v>5</v>
      </c>
      <c r="K83">
        <v>0.02</v>
      </c>
      <c r="L83" t="str">
        <f>IF(OR(表1[[#This Row],[Traffic (%)]]&gt;=0,表1[[#This Row],[Traffic (%)]]&lt;=100),"正常","异常")</f>
        <v>正常</v>
      </c>
      <c r="M83">
        <v>9</v>
      </c>
      <c r="N83">
        <v>0.01</v>
      </c>
      <c r="O83">
        <v>0.16</v>
      </c>
      <c r="P83" t="str">
        <f>IF(OR(表1[[#This Row],[Competition]]&lt;0,表1[[#This Row],[Competition]]&gt;1),"异常","正常")</f>
        <v>正常</v>
      </c>
      <c r="Q83">
        <v>4570000</v>
      </c>
      <c r="R83" t="s">
        <v>177</v>
      </c>
      <c r="S83" s="1">
        <v>45657</v>
      </c>
      <c r="T83" s="1" t="str">
        <f>IF(ISNUMBER(表1[[#This Row],[Last Seen]]),"日期正确","需要清洗")</f>
        <v>日期正确</v>
      </c>
      <c r="U83">
        <v>44</v>
      </c>
      <c r="V83" s="1" t="str">
        <f>IF(OR(表1[[#This Row],[Keyword Difficulty]]&lt;0,表1[[#This Row],[Keyword Difficulty]]&gt;100),"异常","正常")</f>
        <v>正常</v>
      </c>
    </row>
    <row r="84" spans="1:22" x14ac:dyDescent="0.2">
      <c r="A84" t="s">
        <v>32</v>
      </c>
      <c r="B84" t="s">
        <v>178</v>
      </c>
      <c r="C84" s="1" t="str">
        <f>LOWER(CLEAN(TRIM(表1[[#This Row],[Keyword]])))</f>
        <v>project management professional prep course</v>
      </c>
      <c r="D84" s="1" t="str">
        <f>IF(COUNTIF(表1[Keyword_Clean],表1[[#This Row],[Keyword_Clean]])&gt;1,"唯一","重复")</f>
        <v>重复</v>
      </c>
      <c r="E84">
        <v>3</v>
      </c>
      <c r="F84" t="str">
        <f>IF(OR(表1[[#This Row],[Position]]="",表1[[#This Row],[Position]]&lt;=0),"异常/空","正常")</f>
        <v>正常</v>
      </c>
      <c r="G84">
        <v>3</v>
      </c>
      <c r="H84">
        <v>590</v>
      </c>
      <c r="I84">
        <v>8.9600000000000009</v>
      </c>
      <c r="J84">
        <v>5</v>
      </c>
      <c r="K84">
        <v>0.02</v>
      </c>
      <c r="L84" t="str">
        <f>IF(OR(表1[[#This Row],[Traffic (%)]]&gt;=0,表1[[#This Row],[Traffic (%)]]&lt;=100),"正常","异常")</f>
        <v>正常</v>
      </c>
      <c r="M84">
        <v>44</v>
      </c>
      <c r="N84">
        <v>0.06</v>
      </c>
      <c r="O84">
        <v>0.19</v>
      </c>
      <c r="P84" t="str">
        <f>IF(OR(表1[[#This Row],[Competition]]&lt;0,表1[[#This Row],[Competition]]&gt;1),"异常","正常")</f>
        <v>正常</v>
      </c>
      <c r="Q84">
        <v>41600000</v>
      </c>
      <c r="R84" t="s">
        <v>179</v>
      </c>
      <c r="S84" s="1">
        <v>45680</v>
      </c>
      <c r="T84" s="1" t="str">
        <f>IF(ISNUMBER(表1[[#This Row],[Last Seen]]),"日期正确","需要清洗")</f>
        <v>日期正确</v>
      </c>
      <c r="U84">
        <v>43</v>
      </c>
      <c r="V84" s="1" t="str">
        <f>IF(OR(表1[[#This Row],[Keyword Difficulty]]&lt;0,表1[[#This Row],[Keyword Difficulty]]&gt;100),"异常","正常")</f>
        <v>正常</v>
      </c>
    </row>
    <row r="85" spans="1:22" x14ac:dyDescent="0.2">
      <c r="A85" t="s">
        <v>180</v>
      </c>
      <c r="B85" t="s">
        <v>181</v>
      </c>
      <c r="C85" s="1" t="str">
        <f>LOWER(CLEAN(TRIM(表1[[#This Row],[Keyword]])))</f>
        <v>pmp exam practice test</v>
      </c>
      <c r="D85" s="1" t="str">
        <f>IF(COUNTIF(表1[Keyword_Clean],表1[[#This Row],[Keyword_Clean]])&gt;1,"唯一","重复")</f>
        <v>重复</v>
      </c>
      <c r="E85">
        <v>3</v>
      </c>
      <c r="F85" t="str">
        <f>IF(OR(表1[[#This Row],[Position]]="",表1[[#This Row],[Position]]&lt;=0),"异常/空","正常")</f>
        <v>正常</v>
      </c>
      <c r="G85">
        <v>3</v>
      </c>
      <c r="H85">
        <v>590</v>
      </c>
      <c r="I85">
        <v>2.08</v>
      </c>
      <c r="J85">
        <v>5</v>
      </c>
      <c r="K85">
        <v>0.02</v>
      </c>
      <c r="L85" t="str">
        <f>IF(OR(表1[[#This Row],[Traffic (%)]]&gt;=0,表1[[#This Row],[Traffic (%)]]&lt;=100),"正常","异常")</f>
        <v>正常</v>
      </c>
      <c r="M85">
        <v>10</v>
      </c>
      <c r="N85">
        <v>0.01</v>
      </c>
      <c r="O85">
        <v>0.52</v>
      </c>
      <c r="P85" t="str">
        <f>IF(OR(表1[[#This Row],[Competition]]&lt;0,表1[[#This Row],[Competition]]&gt;1),"异常","正常")</f>
        <v>正常</v>
      </c>
      <c r="Q85">
        <v>5570000</v>
      </c>
      <c r="R85" t="s">
        <v>182</v>
      </c>
      <c r="S85" s="1">
        <v>45683</v>
      </c>
      <c r="T85" s="1" t="str">
        <f>IF(ISNUMBER(表1[[#This Row],[Last Seen]]),"日期正确","需要清洗")</f>
        <v>日期正确</v>
      </c>
      <c r="U85">
        <v>32</v>
      </c>
      <c r="V85" s="1" t="str">
        <f>IF(OR(表1[[#This Row],[Keyword Difficulty]]&lt;0,表1[[#This Row],[Keyword Difficulty]]&gt;100),"异常","正常")</f>
        <v>正常</v>
      </c>
    </row>
    <row r="86" spans="1:22" x14ac:dyDescent="0.2">
      <c r="A86" t="s">
        <v>183</v>
      </c>
      <c r="B86" t="s">
        <v>184</v>
      </c>
      <c r="C86" s="1" t="str">
        <f>LOWER(CLEAN(TRIM(表1[[#This Row],[Keyword]])))</f>
        <v>how to prepare for pmp certification</v>
      </c>
      <c r="D86" s="1" t="str">
        <f>IF(COUNTIF(表1[Keyword_Clean],表1[[#This Row],[Keyword_Clean]])&gt;1,"唯一","重复")</f>
        <v>唯一</v>
      </c>
      <c r="E86">
        <v>1</v>
      </c>
      <c r="F86" t="str">
        <f>IF(OR(表1[[#This Row],[Position]]="",表1[[#This Row],[Position]]&lt;=0),"异常/空","正常")</f>
        <v>正常</v>
      </c>
      <c r="G86">
        <v>1</v>
      </c>
      <c r="H86">
        <v>110</v>
      </c>
      <c r="I86">
        <v>3.07</v>
      </c>
      <c r="J86">
        <v>5</v>
      </c>
      <c r="K86">
        <v>0.02</v>
      </c>
      <c r="L86" t="str">
        <f>IF(OR(表1[[#This Row],[Traffic (%)]]&gt;=0,表1[[#This Row],[Traffic (%)]]&lt;=100),"正常","异常")</f>
        <v>正常</v>
      </c>
      <c r="M86">
        <v>15</v>
      </c>
      <c r="N86">
        <v>0.02</v>
      </c>
      <c r="O86">
        <v>0.4</v>
      </c>
      <c r="P86" t="str">
        <f>IF(OR(表1[[#This Row],[Competition]]&lt;0,表1[[#This Row],[Competition]]&gt;1),"异常","正常")</f>
        <v>正常</v>
      </c>
      <c r="Q86">
        <v>10200000</v>
      </c>
      <c r="R86" t="s">
        <v>185</v>
      </c>
      <c r="S86" s="1">
        <v>45670</v>
      </c>
      <c r="T86" s="1" t="str">
        <f>IF(ISNUMBER(表1[[#This Row],[Last Seen]]),"日期正确","需要清洗")</f>
        <v>日期正确</v>
      </c>
      <c r="U86">
        <v>33</v>
      </c>
      <c r="V86" s="1" t="str">
        <f>IF(OR(表1[[#This Row],[Keyword Difficulty]]&lt;0,表1[[#This Row],[Keyword Difficulty]]&gt;100),"异常","正常")</f>
        <v>正常</v>
      </c>
    </row>
    <row r="87" spans="1:22" x14ac:dyDescent="0.2">
      <c r="A87" t="s">
        <v>186</v>
      </c>
      <c r="B87" t="s">
        <v>187</v>
      </c>
      <c r="C87" s="1" t="str">
        <f>LOWER(CLEAN(TRIM(表1[[#This Row],[Keyword]])))</f>
        <v>itil 4 foundation certification</v>
      </c>
      <c r="D87" s="1" t="str">
        <f>IF(COUNTIF(表1[Keyword_Clean],表1[[#This Row],[Keyword_Clean]])&gt;1,"唯一","重复")</f>
        <v>唯一</v>
      </c>
      <c r="E87">
        <v>2</v>
      </c>
      <c r="F87" t="str">
        <f>IF(OR(表1[[#This Row],[Position]]="",表1[[#This Row],[Position]]&lt;=0),"异常/空","正常")</f>
        <v>正常</v>
      </c>
      <c r="G87">
        <v>2</v>
      </c>
      <c r="H87">
        <v>390</v>
      </c>
      <c r="I87">
        <v>3.33</v>
      </c>
      <c r="J87">
        <v>5</v>
      </c>
      <c r="K87">
        <v>0.02</v>
      </c>
      <c r="L87" t="str">
        <f>IF(OR(表1[[#This Row],[Traffic (%)]]&gt;=0,表1[[#This Row],[Traffic (%)]]&lt;=100),"正常","异常")</f>
        <v>正常</v>
      </c>
      <c r="M87">
        <v>16</v>
      </c>
      <c r="N87">
        <v>0.02</v>
      </c>
      <c r="O87">
        <v>0.52</v>
      </c>
      <c r="P87" t="str">
        <f>IF(OR(表1[[#This Row],[Competition]]&lt;0,表1[[#This Row],[Competition]]&gt;1),"异常","正常")</f>
        <v>正常</v>
      </c>
      <c r="Q87">
        <v>9890000</v>
      </c>
      <c r="R87" t="s">
        <v>188</v>
      </c>
      <c r="S87" s="1">
        <v>45666</v>
      </c>
      <c r="T87" s="1" t="str">
        <f>IF(ISNUMBER(表1[[#This Row],[Last Seen]]),"日期正确","需要清洗")</f>
        <v>日期正确</v>
      </c>
      <c r="U87">
        <v>44</v>
      </c>
      <c r="V87" s="1" t="str">
        <f>IF(OR(表1[[#This Row],[Keyword Difficulty]]&lt;0,表1[[#This Row],[Keyword Difficulty]]&gt;100),"异常","正常")</f>
        <v>正常</v>
      </c>
    </row>
    <row r="88" spans="1:22" x14ac:dyDescent="0.2">
      <c r="A88" t="s">
        <v>189</v>
      </c>
      <c r="B88" t="s">
        <v>190</v>
      </c>
      <c r="C88" s="1" t="str">
        <f>LOWER(CLEAN(TRIM(表1[[#This Row],[Keyword]])))</f>
        <v>simpli lear</v>
      </c>
      <c r="D88" s="1" t="str">
        <f>IF(COUNTIF(表1[Keyword_Clean],表1[[#This Row],[Keyword_Clean]])&gt;1,"唯一","重复")</f>
        <v>重复</v>
      </c>
      <c r="E88">
        <v>1</v>
      </c>
      <c r="F88" t="str">
        <f>IF(OR(表1[[#This Row],[Position]]="",表1[[#This Row],[Position]]&lt;=0),"异常/空","正常")</f>
        <v>正常</v>
      </c>
      <c r="G88">
        <v>1</v>
      </c>
      <c r="H88">
        <v>90</v>
      </c>
      <c r="I88">
        <v>1.88</v>
      </c>
      <c r="J88">
        <v>4</v>
      </c>
      <c r="K88">
        <v>0.02</v>
      </c>
      <c r="L88" t="str">
        <f>IF(OR(表1[[#This Row],[Traffic (%)]]&gt;=0,表1[[#This Row],[Traffic (%)]]&lt;=100),"正常","异常")</f>
        <v>正常</v>
      </c>
      <c r="M88">
        <v>7</v>
      </c>
      <c r="N88">
        <v>0.01</v>
      </c>
      <c r="O88">
        <v>0.16</v>
      </c>
      <c r="P88" t="str">
        <f>IF(OR(表1[[#This Row],[Competition]]&lt;0,表1[[#This Row],[Competition]]&gt;1),"异常","正常")</f>
        <v>正常</v>
      </c>
      <c r="Q88">
        <v>4460000</v>
      </c>
      <c r="R88" t="s">
        <v>177</v>
      </c>
      <c r="S88" s="1">
        <v>45659</v>
      </c>
      <c r="T88" s="1" t="str">
        <f>IF(ISNUMBER(表1[[#This Row],[Last Seen]]),"日期正确","需要清洗")</f>
        <v>日期正确</v>
      </c>
      <c r="U88">
        <v>38</v>
      </c>
      <c r="V88" s="1" t="str">
        <f>IF(OR(表1[[#This Row],[Keyword Difficulty]]&lt;0,表1[[#This Row],[Keyword Difficulty]]&gt;100),"异常","正常")</f>
        <v>正常</v>
      </c>
    </row>
    <row r="89" spans="1:22" x14ac:dyDescent="0.2">
      <c r="A89" t="s">
        <v>128</v>
      </c>
      <c r="B89" t="s">
        <v>191</v>
      </c>
      <c r="C89" s="1" t="str">
        <f>LOWER(CLEAN(TRIM(表1[[#This Row],[Keyword]])))</f>
        <v>simplilearn azure</v>
      </c>
      <c r="D89" s="1" t="str">
        <f>IF(COUNTIF(表1[Keyword_Clean],表1[[#This Row],[Keyword_Clean]])&gt;1,"唯一","重复")</f>
        <v>重复</v>
      </c>
      <c r="E89">
        <v>1</v>
      </c>
      <c r="F89" t="str">
        <f>IF(OR(表1[[#This Row],[Position]]="",表1[[#This Row],[Position]]&lt;=0),"异常/空","正常")</f>
        <v>正常</v>
      </c>
      <c r="G89">
        <v>1</v>
      </c>
      <c r="H89">
        <v>90</v>
      </c>
      <c r="I89">
        <v>0</v>
      </c>
      <c r="J89">
        <v>4</v>
      </c>
      <c r="K89">
        <v>0.02</v>
      </c>
      <c r="L89" t="str">
        <f>IF(OR(表1[[#This Row],[Traffic (%)]]&gt;=0,表1[[#This Row],[Traffic (%)]]&lt;=100),"正常","异常")</f>
        <v>正常</v>
      </c>
      <c r="M89">
        <v>0</v>
      </c>
      <c r="N89">
        <v>0</v>
      </c>
      <c r="O89">
        <v>0.43</v>
      </c>
      <c r="P89" t="str">
        <f>IF(OR(表1[[#This Row],[Competition]]&lt;0,表1[[#This Row],[Competition]]&gt;1),"异常","正常")</f>
        <v>正常</v>
      </c>
      <c r="Q89">
        <v>231000</v>
      </c>
      <c r="R89" t="s">
        <v>192</v>
      </c>
      <c r="S89" s="1">
        <v>45677</v>
      </c>
      <c r="T89" s="1" t="str">
        <f>IF(ISNUMBER(表1[[#This Row],[Last Seen]]),"日期正确","需要清洗")</f>
        <v>日期正确</v>
      </c>
      <c r="U89">
        <v>36</v>
      </c>
      <c r="V89" s="1" t="str">
        <f>IF(OR(表1[[#This Row],[Keyword Difficulty]]&lt;0,表1[[#This Row],[Keyword Difficulty]]&gt;100),"异常","正常")</f>
        <v>正常</v>
      </c>
    </row>
    <row r="90" spans="1:22" x14ac:dyDescent="0.2">
      <c r="A90" t="s">
        <v>193</v>
      </c>
      <c r="B90" t="s">
        <v>194</v>
      </c>
      <c r="C90" s="1" t="str">
        <f>LOWER(CLEAN(TRIM(表1[[#This Row],[Keyword]])))</f>
        <v>cloud architect certification</v>
      </c>
      <c r="D90" s="1" t="str">
        <f>IF(COUNTIF(表1[Keyword_Clean],表1[[#This Row],[Keyword_Clean]])&gt;1,"唯一","重复")</f>
        <v>重复</v>
      </c>
      <c r="E90">
        <v>3</v>
      </c>
      <c r="F90" t="str">
        <f>IF(OR(表1[[#This Row],[Position]]="",表1[[#This Row],[Position]]&lt;=0),"异常/空","正常")</f>
        <v>正常</v>
      </c>
      <c r="G90">
        <v>3</v>
      </c>
      <c r="H90">
        <v>480</v>
      </c>
      <c r="I90">
        <v>6.39</v>
      </c>
      <c r="J90">
        <v>4</v>
      </c>
      <c r="K90">
        <v>0.02</v>
      </c>
      <c r="L90" t="str">
        <f>IF(OR(表1[[#This Row],[Traffic (%)]]&gt;=0,表1[[#This Row],[Traffic (%)]]&lt;=100),"正常","异常")</f>
        <v>正常</v>
      </c>
      <c r="M90">
        <v>25</v>
      </c>
      <c r="N90">
        <v>0.03</v>
      </c>
      <c r="O90">
        <v>0.4</v>
      </c>
      <c r="P90" t="str">
        <f>IF(OR(表1[[#This Row],[Competition]]&lt;0,表1[[#This Row],[Competition]]&gt;1),"异常","正常")</f>
        <v>正常</v>
      </c>
      <c r="Q90">
        <v>63800000</v>
      </c>
      <c r="R90" t="s">
        <v>195</v>
      </c>
      <c r="S90" s="1">
        <v>45679</v>
      </c>
      <c r="T90" s="1" t="str">
        <f>IF(ISNUMBER(表1[[#This Row],[Last Seen]]),"日期正确","需要清洗")</f>
        <v>日期正确</v>
      </c>
      <c r="U90">
        <v>77</v>
      </c>
      <c r="V90" s="1" t="str">
        <f>IF(OR(表1[[#This Row],[Keyword Difficulty]]&lt;0,表1[[#This Row],[Keyword Difficulty]]&gt;100),"异常","正常")</f>
        <v>正常</v>
      </c>
    </row>
    <row r="91" spans="1:22" x14ac:dyDescent="0.2">
      <c r="A91" t="s">
        <v>196</v>
      </c>
      <c r="B91" t="s">
        <v>197</v>
      </c>
      <c r="C91" s="1" t="str">
        <f>LOWER(CLEAN(TRIM(表1[[#This Row],[Keyword]])))</f>
        <v>cheap pmp certification</v>
      </c>
      <c r="D91" s="1" t="str">
        <f>IF(COUNTIF(表1[Keyword_Clean],表1[[#This Row],[Keyword_Clean]])&gt;1,"唯一","重复")</f>
        <v>重复</v>
      </c>
      <c r="E91">
        <v>1</v>
      </c>
      <c r="F91" t="str">
        <f>IF(OR(表1[[#This Row],[Position]]="",表1[[#This Row],[Position]]&lt;=0),"异常/空","正常")</f>
        <v>正常</v>
      </c>
      <c r="G91">
        <v>1</v>
      </c>
      <c r="H91">
        <v>90</v>
      </c>
      <c r="I91">
        <v>5.98</v>
      </c>
      <c r="J91">
        <v>4</v>
      </c>
      <c r="K91">
        <v>0.02</v>
      </c>
      <c r="L91" t="str">
        <f>IF(OR(表1[[#This Row],[Traffic (%)]]&gt;=0,表1[[#This Row],[Traffic (%)]]&lt;=100),"正常","异常")</f>
        <v>正常</v>
      </c>
      <c r="M91">
        <v>23</v>
      </c>
      <c r="N91">
        <v>0.03</v>
      </c>
      <c r="O91">
        <v>0.46</v>
      </c>
      <c r="P91" t="str">
        <f>IF(OR(表1[[#This Row],[Competition]]&lt;0,表1[[#This Row],[Competition]]&gt;1),"异常","正常")</f>
        <v>正常</v>
      </c>
      <c r="Q91">
        <v>40900000</v>
      </c>
      <c r="R91" t="s">
        <v>198</v>
      </c>
      <c r="S91" s="1">
        <v>45675</v>
      </c>
      <c r="T91" s="1" t="str">
        <f>IF(ISNUMBER(表1[[#This Row],[Last Seen]]),"日期正确","需要清洗")</f>
        <v>日期正确</v>
      </c>
      <c r="U91">
        <v>25</v>
      </c>
      <c r="V91" s="1" t="str">
        <f>IF(OR(表1[[#This Row],[Keyword Difficulty]]&lt;0,表1[[#This Row],[Keyword Difficulty]]&gt;100),"异常","正常")</f>
        <v>正常</v>
      </c>
    </row>
    <row r="92" spans="1:22" x14ac:dyDescent="0.2">
      <c r="A92" t="s">
        <v>199</v>
      </c>
      <c r="B92" t="s">
        <v>200</v>
      </c>
      <c r="C92" s="1" t="str">
        <f>LOWER(CLEAN(TRIM(表1[[#This Row],[Keyword]])))</f>
        <v>cspo training</v>
      </c>
      <c r="D92" s="1" t="str">
        <f>IF(COUNTIF(表1[Keyword_Clean],表1[[#This Row],[Keyword_Clean]])&gt;1,"唯一","重复")</f>
        <v>重复</v>
      </c>
      <c r="E92">
        <v>3</v>
      </c>
      <c r="F92" t="str">
        <f>IF(OR(表1[[#This Row],[Position]]="",表1[[#This Row],[Position]]&lt;=0),"异常/空","正常")</f>
        <v>正常</v>
      </c>
      <c r="G92">
        <v>3</v>
      </c>
      <c r="H92">
        <v>480</v>
      </c>
      <c r="I92">
        <v>6.97</v>
      </c>
      <c r="J92">
        <v>4</v>
      </c>
      <c r="K92">
        <v>0.02</v>
      </c>
      <c r="L92" t="str">
        <f>IF(OR(表1[[#This Row],[Traffic (%)]]&gt;=0,表1[[#This Row],[Traffic (%)]]&lt;=100),"正常","异常")</f>
        <v>正常</v>
      </c>
      <c r="M92">
        <v>27</v>
      </c>
      <c r="N92">
        <v>0.04</v>
      </c>
      <c r="O92">
        <v>0.24</v>
      </c>
      <c r="P92" t="str">
        <f>IF(OR(表1[[#This Row],[Competition]]&lt;0,表1[[#This Row],[Competition]]&gt;1),"异常","正常")</f>
        <v>正常</v>
      </c>
      <c r="Q92">
        <v>8690000</v>
      </c>
      <c r="R92" t="s">
        <v>201</v>
      </c>
      <c r="S92" s="1">
        <v>45657</v>
      </c>
      <c r="T92" s="1" t="str">
        <f>IF(ISNUMBER(表1[[#This Row],[Last Seen]]),"日期正确","需要清洗")</f>
        <v>日期正确</v>
      </c>
      <c r="U92">
        <v>44</v>
      </c>
      <c r="V92" s="1" t="str">
        <f>IF(OR(表1[[#This Row],[Keyword Difficulty]]&lt;0,表1[[#This Row],[Keyword Difficulty]]&gt;100),"异常","正常")</f>
        <v>正常</v>
      </c>
    </row>
    <row r="93" spans="1:22" x14ac:dyDescent="0.2">
      <c r="A93" t="s">
        <v>133</v>
      </c>
      <c r="B93" t="s">
        <v>202</v>
      </c>
      <c r="C93" s="1" t="str">
        <f>LOWER(CLEAN(TRIM(表1[[#This Row],[Keyword]])))</f>
        <v>simplilearn log in</v>
      </c>
      <c r="D93" s="1" t="str">
        <f>IF(COUNTIF(表1[Keyword_Clean],表1[[#This Row],[Keyword_Clean]])&gt;1,"唯一","重复")</f>
        <v>重复</v>
      </c>
      <c r="E93">
        <v>1</v>
      </c>
      <c r="F93" t="str">
        <f>IF(OR(表1[[#This Row],[Position]]="",表1[[#This Row],[Position]]&lt;=0),"异常/空","正常")</f>
        <v>正常</v>
      </c>
      <c r="G93">
        <v>1</v>
      </c>
      <c r="H93">
        <v>90</v>
      </c>
      <c r="I93">
        <v>1.31</v>
      </c>
      <c r="J93">
        <v>4</v>
      </c>
      <c r="K93">
        <v>0.02</v>
      </c>
      <c r="L93" t="str">
        <f>IF(OR(表1[[#This Row],[Traffic (%)]]&gt;=0,表1[[#This Row],[Traffic (%)]]&lt;=100),"正常","异常")</f>
        <v>正常</v>
      </c>
      <c r="M93">
        <v>5</v>
      </c>
      <c r="N93">
        <v>0</v>
      </c>
      <c r="O93">
        <v>0.13</v>
      </c>
      <c r="P93" t="str">
        <f>IF(OR(表1[[#This Row],[Competition]]&lt;0,表1[[#This Row],[Competition]]&gt;1),"异常","正常")</f>
        <v>正常</v>
      </c>
      <c r="Q93">
        <v>61</v>
      </c>
      <c r="R93" t="s">
        <v>203</v>
      </c>
      <c r="S93" s="1">
        <v>45677</v>
      </c>
      <c r="T93" s="1" t="str">
        <f>IF(ISNUMBER(表1[[#This Row],[Last Seen]]),"日期正确","需要清洗")</f>
        <v>日期正确</v>
      </c>
      <c r="U93">
        <v>19</v>
      </c>
      <c r="V93" s="1" t="str">
        <f>IF(OR(表1[[#This Row],[Keyword Difficulty]]&lt;0,表1[[#This Row],[Keyword Difficulty]]&gt;100),"异常","正常")</f>
        <v>正常</v>
      </c>
    </row>
    <row r="94" spans="1:22" x14ac:dyDescent="0.2">
      <c r="A94" t="s">
        <v>204</v>
      </c>
      <c r="B94" t="s">
        <v>205</v>
      </c>
      <c r="C94" s="1" t="str">
        <f>LOWER(CLEAN(TRIM(表1[[#This Row],[Keyword]])))</f>
        <v>skillup by simplilearn</v>
      </c>
      <c r="D94" s="1" t="str">
        <f>IF(COUNTIF(表1[Keyword_Clean],表1[[#This Row],[Keyword_Clean]])&gt;1,"唯一","重复")</f>
        <v>唯一</v>
      </c>
      <c r="E94">
        <v>1</v>
      </c>
      <c r="F94" t="str">
        <f>IF(OR(表1[[#This Row],[Position]]="",表1[[#This Row],[Position]]&lt;=0),"异常/空","正常")</f>
        <v>正常</v>
      </c>
      <c r="G94">
        <v>1</v>
      </c>
      <c r="H94">
        <v>90</v>
      </c>
      <c r="I94">
        <v>4.47</v>
      </c>
      <c r="J94">
        <v>4</v>
      </c>
      <c r="K94">
        <v>0.02</v>
      </c>
      <c r="L94" t="str">
        <f>IF(OR(表1[[#This Row],[Traffic (%)]]&gt;=0,表1[[#This Row],[Traffic (%)]]&lt;=100),"正常","异常")</f>
        <v>正常</v>
      </c>
      <c r="M94">
        <v>17</v>
      </c>
      <c r="N94">
        <v>0.02</v>
      </c>
      <c r="O94">
        <v>0.31</v>
      </c>
      <c r="P94" t="str">
        <f>IF(OR(表1[[#This Row],[Competition]]&lt;0,表1[[#This Row],[Competition]]&gt;1),"异常","正常")</f>
        <v>正常</v>
      </c>
      <c r="Q94">
        <v>55</v>
      </c>
      <c r="R94" t="s">
        <v>206</v>
      </c>
      <c r="S94" s="1">
        <v>45657</v>
      </c>
      <c r="T94" s="1" t="str">
        <f>IF(ISNUMBER(表1[[#This Row],[Last Seen]]),"日期正确","需要清洗")</f>
        <v>日期正确</v>
      </c>
      <c r="U94">
        <v>49</v>
      </c>
      <c r="V94" s="1" t="str">
        <f>IF(OR(表1[[#This Row],[Keyword Difficulty]]&lt;0,表1[[#This Row],[Keyword Difficulty]]&gt;100),"异常","正常")</f>
        <v>正常</v>
      </c>
    </row>
    <row r="95" spans="1:22" x14ac:dyDescent="0.2">
      <c r="A95" t="s">
        <v>207</v>
      </c>
      <c r="B95" t="s">
        <v>208</v>
      </c>
      <c r="C95" s="1" t="str">
        <f>LOWER(CLEAN(TRIM(表1[[#This Row],[Keyword]])))</f>
        <v>certified scrum master class</v>
      </c>
      <c r="D95" s="1" t="str">
        <f>IF(COUNTIF(表1[Keyword_Clean],表1[[#This Row],[Keyword_Clean]])&gt;1,"唯一","重复")</f>
        <v>重复</v>
      </c>
      <c r="E95">
        <v>2</v>
      </c>
      <c r="F95" t="str">
        <f>IF(OR(表1[[#This Row],[Position]]="",表1[[#This Row],[Position]]&lt;=0),"异常/空","正常")</f>
        <v>正常</v>
      </c>
      <c r="G95">
        <v>2</v>
      </c>
      <c r="H95">
        <v>260</v>
      </c>
      <c r="I95">
        <v>5.46</v>
      </c>
      <c r="J95">
        <v>3</v>
      </c>
      <c r="K95">
        <v>0.01</v>
      </c>
      <c r="L95" t="str">
        <f>IF(OR(表1[[#This Row],[Traffic (%)]]&gt;=0,表1[[#This Row],[Traffic (%)]]&lt;=100),"正常","异常")</f>
        <v>正常</v>
      </c>
      <c r="M95">
        <v>16</v>
      </c>
      <c r="N95">
        <v>0.02</v>
      </c>
      <c r="O95">
        <v>0.43</v>
      </c>
      <c r="P95" t="str">
        <f>IF(OR(表1[[#This Row],[Competition]]&lt;0,表1[[#This Row],[Competition]]&gt;1),"异常","正常")</f>
        <v>正常</v>
      </c>
      <c r="Q95">
        <v>4450000</v>
      </c>
      <c r="R95" t="s">
        <v>209</v>
      </c>
      <c r="S95" s="1">
        <v>45681</v>
      </c>
      <c r="T95" s="1" t="str">
        <f>IF(ISNUMBER(表1[[#This Row],[Last Seen]]),"日期正确","需要清洗")</f>
        <v>日期正确</v>
      </c>
      <c r="U95">
        <v>59</v>
      </c>
      <c r="V95" s="1" t="str">
        <f>IF(OR(表1[[#This Row],[Keyword Difficulty]]&lt;0,表1[[#This Row],[Keyword Difficulty]]&gt;100),"异常","正常")</f>
        <v>正常</v>
      </c>
    </row>
    <row r="96" spans="1:22" x14ac:dyDescent="0.2">
      <c r="A96" t="s">
        <v>210</v>
      </c>
      <c r="B96" t="s">
        <v>211</v>
      </c>
      <c r="C96" s="1" t="str">
        <f>LOWER(CLEAN(TRIM(表1[[#This Row],[Keyword]])))</f>
        <v>similearn</v>
      </c>
      <c r="D96" s="1" t="str">
        <f>IF(COUNTIF(表1[Keyword_Clean],表1[[#This Row],[Keyword_Clean]])&gt;1,"唯一","重复")</f>
        <v>重复</v>
      </c>
      <c r="E96">
        <v>1</v>
      </c>
      <c r="F96" t="str">
        <f>IF(OR(表1[[#This Row],[Position]]="",表1[[#This Row],[Position]]&lt;=0),"异常/空","正常")</f>
        <v>正常</v>
      </c>
      <c r="G96">
        <v>1</v>
      </c>
      <c r="H96">
        <v>70</v>
      </c>
      <c r="I96">
        <v>2.31</v>
      </c>
      <c r="J96">
        <v>3</v>
      </c>
      <c r="K96">
        <v>0.01</v>
      </c>
      <c r="L96" t="str">
        <f>IF(OR(表1[[#This Row],[Traffic (%)]]&gt;=0,表1[[#This Row],[Traffic (%)]]&lt;=100),"正常","异常")</f>
        <v>正常</v>
      </c>
      <c r="M96">
        <v>6</v>
      </c>
      <c r="N96">
        <v>0</v>
      </c>
      <c r="O96">
        <v>0.14000000000000001</v>
      </c>
      <c r="P96" t="str">
        <f>IF(OR(表1[[#This Row],[Competition]]&lt;0,表1[[#This Row],[Competition]]&gt;1),"异常","正常")</f>
        <v>正常</v>
      </c>
      <c r="Q96">
        <v>4210000</v>
      </c>
      <c r="R96" t="s">
        <v>212</v>
      </c>
      <c r="S96" s="1">
        <v>45679</v>
      </c>
      <c r="T96" s="1" t="str">
        <f>IF(ISNUMBER(表1[[#This Row],[Last Seen]]),"日期正确","需要清洗")</f>
        <v>日期正确</v>
      </c>
      <c r="U96">
        <v>48</v>
      </c>
      <c r="V96" s="1" t="str">
        <f>IF(OR(表1[[#This Row],[Keyword Difficulty]]&lt;0,表1[[#This Row],[Keyword Difficulty]]&gt;100),"异常","正常")</f>
        <v>正常</v>
      </c>
    </row>
    <row r="97" spans="1:22" x14ac:dyDescent="0.2">
      <c r="A97" t="s">
        <v>21</v>
      </c>
      <c r="B97" t="s">
        <v>213</v>
      </c>
      <c r="C97" s="1" t="str">
        <f>LOWER(CLEAN(TRIM(表1[[#This Row],[Keyword]])))</f>
        <v>certified scrum master certificate</v>
      </c>
      <c r="D97" s="1" t="str">
        <f>IF(COUNTIF(表1[Keyword_Clean],表1[[#This Row],[Keyword_Clean]])&gt;1,"唯一","重复")</f>
        <v>重复</v>
      </c>
      <c r="E97">
        <v>2</v>
      </c>
      <c r="F97" t="str">
        <f>IF(OR(表1[[#This Row],[Position]]="",表1[[#This Row],[Position]]&lt;=0),"异常/空","正常")</f>
        <v>正常</v>
      </c>
      <c r="G97">
        <v>2</v>
      </c>
      <c r="H97">
        <v>260</v>
      </c>
      <c r="I97">
        <v>3.21</v>
      </c>
      <c r="J97">
        <v>3</v>
      </c>
      <c r="K97">
        <v>0.01</v>
      </c>
      <c r="L97" t="str">
        <f>IF(OR(表1[[#This Row],[Traffic (%)]]&gt;=0,表1[[#This Row],[Traffic (%)]]&lt;=100),"正常","异常")</f>
        <v>正常</v>
      </c>
      <c r="M97">
        <v>9</v>
      </c>
      <c r="N97">
        <v>0.01</v>
      </c>
      <c r="O97">
        <v>0.64</v>
      </c>
      <c r="P97" t="str">
        <f>IF(OR(表1[[#This Row],[Competition]]&lt;0,表1[[#This Row],[Competition]]&gt;1),"异常","正常")</f>
        <v>正常</v>
      </c>
      <c r="Q97">
        <v>13700000</v>
      </c>
      <c r="R97" t="s">
        <v>141</v>
      </c>
      <c r="S97" s="1">
        <v>45679</v>
      </c>
      <c r="T97" s="1" t="str">
        <f>IF(ISNUMBER(表1[[#This Row],[Last Seen]]),"日期正确","需要清洗")</f>
        <v>日期正确</v>
      </c>
      <c r="U97">
        <v>64</v>
      </c>
      <c r="V97" s="1" t="str">
        <f>IF(OR(表1[[#This Row],[Keyword Difficulty]]&lt;0,表1[[#This Row],[Keyword Difficulty]]&gt;100),"异常","正常")</f>
        <v>正常</v>
      </c>
    </row>
    <row r="98" spans="1:22" x14ac:dyDescent="0.2">
      <c r="A98" t="s">
        <v>37</v>
      </c>
      <c r="B98" t="s">
        <v>214</v>
      </c>
      <c r="C98" s="1" t="str">
        <f>LOWER(CLEAN(TRIM(表1[[#This Row],[Keyword]])))</f>
        <v>how to get project management certification</v>
      </c>
      <c r="D98" s="1" t="str">
        <f>IF(COUNTIF(表1[Keyword_Clean],表1[[#This Row],[Keyword_Clean]])&gt;1,"唯一","重复")</f>
        <v>重复</v>
      </c>
      <c r="E98">
        <v>3</v>
      </c>
      <c r="F98" t="str">
        <f>IF(OR(表1[[#This Row],[Position]]="",表1[[#This Row],[Position]]&lt;=0),"异常/空","正常")</f>
        <v>正常</v>
      </c>
      <c r="G98">
        <v>3</v>
      </c>
      <c r="H98">
        <v>390</v>
      </c>
      <c r="I98">
        <v>7.37</v>
      </c>
      <c r="J98">
        <v>3</v>
      </c>
      <c r="K98">
        <v>0.01</v>
      </c>
      <c r="L98" t="str">
        <f>IF(OR(表1[[#This Row],[Traffic (%)]]&gt;=0,表1[[#This Row],[Traffic (%)]]&lt;=100),"正常","异常")</f>
        <v>正常</v>
      </c>
      <c r="M98">
        <v>22</v>
      </c>
      <c r="N98">
        <v>0.03</v>
      </c>
      <c r="O98">
        <v>0.72</v>
      </c>
      <c r="P98" t="str">
        <f>IF(OR(表1[[#This Row],[Competition]]&lt;0,表1[[#This Row],[Competition]]&gt;1),"异常","正常")</f>
        <v>正常</v>
      </c>
      <c r="Q98">
        <v>375000000</v>
      </c>
      <c r="R98" t="s">
        <v>215</v>
      </c>
      <c r="S98" s="1">
        <v>45678</v>
      </c>
      <c r="T98" s="1" t="str">
        <f>IF(ISNUMBER(表1[[#This Row],[Last Seen]]),"日期正确","需要清洗")</f>
        <v>日期正确</v>
      </c>
      <c r="U98">
        <v>56</v>
      </c>
      <c r="V98" s="1" t="str">
        <f>IF(OR(表1[[#This Row],[Keyword Difficulty]]&lt;0,表1[[#This Row],[Keyword Difficulty]]&gt;100),"异常","正常")</f>
        <v>正常</v>
      </c>
    </row>
    <row r="99" spans="1:22" x14ac:dyDescent="0.2">
      <c r="A99" t="s">
        <v>216</v>
      </c>
      <c r="B99" t="s">
        <v>217</v>
      </c>
      <c r="C99" s="1" t="str">
        <f>LOWER(CLEAN(TRIM(表1[[#This Row],[Keyword]])))</f>
        <v>simplilearn courses</v>
      </c>
      <c r="D99" s="1" t="str">
        <f>IF(COUNTIF(表1[Keyword_Clean],表1[[#This Row],[Keyword_Clean]])&gt;1,"唯一","重复")</f>
        <v>重复</v>
      </c>
      <c r="E99">
        <v>1</v>
      </c>
      <c r="F99" t="str">
        <f>IF(OR(表1[[#This Row],[Position]]="",表1[[#This Row],[Position]]&lt;=0),"异常/空","正常")</f>
        <v>正常</v>
      </c>
      <c r="G99">
        <v>1</v>
      </c>
      <c r="H99">
        <v>70</v>
      </c>
      <c r="I99">
        <v>6.31</v>
      </c>
      <c r="J99">
        <v>3</v>
      </c>
      <c r="K99">
        <v>0.01</v>
      </c>
      <c r="L99" t="str">
        <f>IF(OR(表1[[#This Row],[Traffic (%)]]&gt;=0,表1[[#This Row],[Traffic (%)]]&lt;=100),"正常","异常")</f>
        <v>正常</v>
      </c>
      <c r="M99">
        <v>18</v>
      </c>
      <c r="N99">
        <v>0.02</v>
      </c>
      <c r="O99">
        <v>0.38</v>
      </c>
      <c r="P99" t="str">
        <f>IF(OR(表1[[#This Row],[Competition]]&lt;0,表1[[#This Row],[Competition]]&gt;1),"异常","正常")</f>
        <v>正常</v>
      </c>
      <c r="Q99">
        <v>3310000</v>
      </c>
      <c r="R99" t="s">
        <v>218</v>
      </c>
      <c r="S99" s="1">
        <v>45666</v>
      </c>
      <c r="T99" s="1" t="str">
        <f>IF(ISNUMBER(表1[[#This Row],[Last Seen]]),"日期正确","需要清洗")</f>
        <v>日期正确</v>
      </c>
      <c r="U99">
        <v>52</v>
      </c>
      <c r="V99" s="1" t="str">
        <f>IF(OR(表1[[#This Row],[Keyword Difficulty]]&lt;0,表1[[#This Row],[Keyword Difficulty]]&gt;100),"异常","正常")</f>
        <v>正常</v>
      </c>
    </row>
    <row r="100" spans="1:22" x14ac:dyDescent="0.2">
      <c r="A100" t="s">
        <v>21</v>
      </c>
      <c r="B100" t="s">
        <v>219</v>
      </c>
      <c r="C100" s="1" t="str">
        <f>LOWER(CLEAN(TRIM(表1[[#This Row],[Keyword]])))</f>
        <v>certified scrum master course</v>
      </c>
      <c r="D100" s="1" t="str">
        <f>IF(COUNTIF(表1[Keyword_Clean],表1[[#This Row],[Keyword_Clean]])&gt;1,"唯一","重复")</f>
        <v>重复</v>
      </c>
      <c r="E100">
        <v>3</v>
      </c>
      <c r="F100" t="str">
        <f>IF(OR(表1[[#This Row],[Position]]="",表1[[#This Row],[Position]]&lt;=0),"异常/空","正常")</f>
        <v>正常</v>
      </c>
      <c r="G100">
        <v>3</v>
      </c>
      <c r="H100">
        <v>390</v>
      </c>
      <c r="I100">
        <v>5.46</v>
      </c>
      <c r="J100">
        <v>3</v>
      </c>
      <c r="K100">
        <v>0.01</v>
      </c>
      <c r="L100" t="str">
        <f>IF(OR(表1[[#This Row],[Traffic (%)]]&gt;=0,表1[[#This Row],[Traffic (%)]]&lt;=100),"正常","异常")</f>
        <v>正常</v>
      </c>
      <c r="M100">
        <v>16</v>
      </c>
      <c r="N100">
        <v>0.02</v>
      </c>
      <c r="O100">
        <v>0.43</v>
      </c>
      <c r="P100" t="str">
        <f>IF(OR(表1[[#This Row],[Competition]]&lt;0,表1[[#This Row],[Competition]]&gt;1),"异常","正常")</f>
        <v>正常</v>
      </c>
      <c r="Q100">
        <v>49100000</v>
      </c>
      <c r="R100" t="s">
        <v>220</v>
      </c>
      <c r="S100" s="1">
        <v>45675</v>
      </c>
      <c r="T100" s="1" t="str">
        <f>IF(ISNUMBER(表1[[#This Row],[Last Seen]]),"日期正确","需要清洗")</f>
        <v>日期正确</v>
      </c>
      <c r="U100">
        <v>60</v>
      </c>
      <c r="V100" s="1" t="str">
        <f>IF(OR(表1[[#This Row],[Keyword Difficulty]]&lt;0,表1[[#This Row],[Keyword Difficulty]]&gt;100),"异常","正常")</f>
        <v>正常</v>
      </c>
    </row>
    <row r="101" spans="1:22" x14ac:dyDescent="0.2">
      <c r="A101" t="s">
        <v>221</v>
      </c>
      <c r="B101" t="s">
        <v>222</v>
      </c>
      <c r="C101" s="1" t="str">
        <f>LOWER(CLEAN(TRIM(表1[[#This Row],[Keyword]])))</f>
        <v>a certified scrum product owner</v>
      </c>
      <c r="D101" s="1" t="str">
        <f>IF(COUNTIF(表1[Keyword_Clean],表1[[#This Row],[Keyword_Clean]])&gt;1,"唯一","重复")</f>
        <v>重复</v>
      </c>
      <c r="E101">
        <v>1</v>
      </c>
      <c r="F101" t="str">
        <f>IF(OR(表1[[#This Row],[Position]]="",表1[[#This Row],[Position]]&lt;=0),"异常/空","正常")</f>
        <v>正常</v>
      </c>
      <c r="G101">
        <v>1</v>
      </c>
      <c r="H101">
        <v>70</v>
      </c>
      <c r="I101">
        <v>3.02</v>
      </c>
      <c r="J101">
        <v>3</v>
      </c>
      <c r="K101">
        <v>0.01</v>
      </c>
      <c r="L101" t="str">
        <f>IF(OR(表1[[#This Row],[Traffic (%)]]&gt;=0,表1[[#This Row],[Traffic (%)]]&lt;=100),"正常","异常")</f>
        <v>正常</v>
      </c>
      <c r="M101">
        <v>9</v>
      </c>
      <c r="N101">
        <v>0.01</v>
      </c>
      <c r="O101">
        <v>0.42</v>
      </c>
      <c r="P101" t="str">
        <f>IF(OR(表1[[#This Row],[Competition]]&lt;0,表1[[#This Row],[Competition]]&gt;1),"异常","正常")</f>
        <v>正常</v>
      </c>
      <c r="Q101">
        <v>8800000</v>
      </c>
      <c r="R101" t="s">
        <v>223</v>
      </c>
      <c r="S101" s="1">
        <v>45673</v>
      </c>
      <c r="T101" s="1" t="str">
        <f>IF(ISNUMBER(表1[[#This Row],[Last Seen]]),"日期正确","需要清洗")</f>
        <v>日期正确</v>
      </c>
      <c r="U101">
        <v>44</v>
      </c>
      <c r="V101" s="1" t="str">
        <f>IF(OR(表1[[#This Row],[Keyword Difficulty]]&lt;0,表1[[#This Row],[Keyword Difficulty]]&gt;100),"异常","正常")</f>
        <v>正常</v>
      </c>
    </row>
    <row r="102" spans="1:22" x14ac:dyDescent="0.2">
      <c r="A102" t="s">
        <v>224</v>
      </c>
      <c r="B102" t="s">
        <v>225</v>
      </c>
      <c r="C102" s="1" t="str">
        <f>LOWER(CLEAN(TRIM(表1[[#This Row],[Keyword]])))</f>
        <v>itil foundation mock test</v>
      </c>
      <c r="D102" s="1" t="str">
        <f>IF(COUNTIF(表1[Keyword_Clean],表1[[#This Row],[Keyword_Clean]])&gt;1,"唯一","重复")</f>
        <v>重复</v>
      </c>
      <c r="E102">
        <v>1</v>
      </c>
      <c r="F102" t="str">
        <f>IF(OR(表1[[#This Row],[Position]]="",表1[[#This Row],[Position]]&lt;=0),"异常/空","正常")</f>
        <v>正常</v>
      </c>
      <c r="G102">
        <v>1</v>
      </c>
      <c r="H102">
        <v>70</v>
      </c>
      <c r="I102">
        <v>1.8</v>
      </c>
      <c r="J102">
        <v>3</v>
      </c>
      <c r="K102">
        <v>0.01</v>
      </c>
      <c r="L102" t="str">
        <f>IF(OR(表1[[#This Row],[Traffic (%)]]&gt;=0,表1[[#This Row],[Traffic (%)]]&lt;=100),"正常","异常")</f>
        <v>正常</v>
      </c>
      <c r="M102">
        <v>5</v>
      </c>
      <c r="N102">
        <v>0</v>
      </c>
      <c r="O102">
        <v>0.26</v>
      </c>
      <c r="P102" t="str">
        <f>IF(OR(表1[[#This Row],[Competition]]&lt;0,表1[[#This Row],[Competition]]&gt;1),"异常","正常")</f>
        <v>正常</v>
      </c>
      <c r="Q102">
        <v>277000</v>
      </c>
      <c r="R102" t="s">
        <v>226</v>
      </c>
      <c r="S102" s="1">
        <v>45681</v>
      </c>
      <c r="T102" s="1" t="str">
        <f>IF(ISNUMBER(表1[[#This Row],[Last Seen]]),"日期正确","需要清洗")</f>
        <v>日期正确</v>
      </c>
      <c r="U102">
        <v>12</v>
      </c>
      <c r="V102" s="1" t="str">
        <f>IF(OR(表1[[#This Row],[Keyword Difficulty]]&lt;0,表1[[#This Row],[Keyword Difficulty]]&gt;100),"异常","正常")</f>
        <v>正常</v>
      </c>
    </row>
    <row r="103" spans="1:22" x14ac:dyDescent="0.2">
      <c r="A103" t="s">
        <v>33</v>
      </c>
      <c r="B103" t="s">
        <v>227</v>
      </c>
      <c r="C103" s="1" t="str">
        <f>LOWER(CLEAN(TRIM(表1[[#This Row],[Keyword]])))</f>
        <v>siplilearn</v>
      </c>
      <c r="D103" s="1" t="str">
        <f>IF(COUNTIF(表1[Keyword_Clean],表1[[#This Row],[Keyword_Clean]])&gt;1,"唯一","重复")</f>
        <v>唯一</v>
      </c>
      <c r="E103">
        <v>1</v>
      </c>
      <c r="F103" t="str">
        <f>IF(OR(表1[[#This Row],[Position]]="",表1[[#This Row],[Position]]&lt;=0),"异常/空","正常")</f>
        <v>正常</v>
      </c>
      <c r="G103">
        <v>1</v>
      </c>
      <c r="H103">
        <v>70</v>
      </c>
      <c r="I103">
        <v>1.88</v>
      </c>
      <c r="J103">
        <v>3</v>
      </c>
      <c r="K103">
        <v>0.01</v>
      </c>
      <c r="L103" t="str">
        <f>IF(OR(表1[[#This Row],[Traffic (%)]]&gt;=0,表1[[#This Row],[Traffic (%)]]&lt;=100),"正常","异常")</f>
        <v>正常</v>
      </c>
      <c r="M103">
        <v>5</v>
      </c>
      <c r="N103">
        <v>0</v>
      </c>
      <c r="O103">
        <v>0.16</v>
      </c>
      <c r="P103" t="str">
        <f>IF(OR(表1[[#This Row],[Competition]]&lt;0,表1[[#This Row],[Competition]]&gt;1),"异常","正常")</f>
        <v>正常</v>
      </c>
      <c r="Q103">
        <v>4790000</v>
      </c>
      <c r="R103" t="s">
        <v>228</v>
      </c>
      <c r="S103" s="1">
        <v>45659</v>
      </c>
      <c r="T103" s="1" t="str">
        <f>IF(ISNUMBER(表1[[#This Row],[Last Seen]]),"日期正确","需要清洗")</f>
        <v>日期正确</v>
      </c>
      <c r="U103">
        <v>38</v>
      </c>
      <c r="V103" s="1" t="str">
        <f>IF(OR(表1[[#This Row],[Keyword Difficulty]]&lt;0,表1[[#This Row],[Keyword Difficulty]]&gt;100),"异常","正常")</f>
        <v>正常</v>
      </c>
    </row>
    <row r="104" spans="1:22" x14ac:dyDescent="0.2">
      <c r="A104" t="s">
        <v>229</v>
      </c>
      <c r="B104" t="s">
        <v>230</v>
      </c>
      <c r="C104" s="1" t="str">
        <f>LOWER(CLEAN(TRIM(表1[[#This Row],[Keyword]])))</f>
        <v>simplielarn</v>
      </c>
      <c r="D104" s="1" t="str">
        <f>IF(COUNTIF(表1[Keyword_Clean],表1[[#This Row],[Keyword_Clean]])&gt;1,"唯一","重复")</f>
        <v>重复</v>
      </c>
      <c r="E104">
        <v>1</v>
      </c>
      <c r="F104" t="str">
        <f>IF(OR(表1[[#This Row],[Position]]="",表1[[#This Row],[Position]]&lt;=0),"异常/空","正常")</f>
        <v>正常</v>
      </c>
      <c r="G104">
        <v>1</v>
      </c>
      <c r="H104">
        <v>70</v>
      </c>
      <c r="I104">
        <v>2.31</v>
      </c>
      <c r="J104">
        <v>3</v>
      </c>
      <c r="K104">
        <v>0.01</v>
      </c>
      <c r="L104" t="str">
        <f>IF(OR(表1[[#This Row],[Traffic (%)]]&gt;=0,表1[[#This Row],[Traffic (%)]]&lt;=100),"正常","异常")</f>
        <v>正常</v>
      </c>
      <c r="M104">
        <v>6</v>
      </c>
      <c r="N104">
        <v>0</v>
      </c>
      <c r="O104">
        <v>0.14000000000000001</v>
      </c>
      <c r="P104" t="str">
        <f>IF(OR(表1[[#This Row],[Competition]]&lt;0,表1[[#This Row],[Competition]]&gt;1),"异常","正常")</f>
        <v>正常</v>
      </c>
      <c r="Q104">
        <v>4260000</v>
      </c>
      <c r="R104" t="s">
        <v>231</v>
      </c>
      <c r="S104" s="1">
        <v>45680</v>
      </c>
      <c r="T104" s="1" t="str">
        <f>IF(ISNUMBER(表1[[#This Row],[Last Seen]]),"日期正确","需要清洗")</f>
        <v>日期正确</v>
      </c>
      <c r="U104">
        <v>62</v>
      </c>
      <c r="V104" s="1" t="str">
        <f>IF(OR(表1[[#This Row],[Keyword Difficulty]]&lt;0,表1[[#This Row],[Keyword Difficulty]]&gt;100),"异常","正常")</f>
        <v>正常</v>
      </c>
    </row>
    <row r="105" spans="1:22" x14ac:dyDescent="0.2">
      <c r="A105" t="s">
        <v>36</v>
      </c>
      <c r="B105" t="s">
        <v>232</v>
      </c>
      <c r="C105" s="1" t="str">
        <f>LOWER(CLEAN(TRIM(表1[[#This Row],[Keyword]])))</f>
        <v>simplielearn</v>
      </c>
      <c r="D105" s="1" t="str">
        <f>IF(COUNTIF(表1[Keyword_Clean],表1[[#This Row],[Keyword_Clean]])&gt;1,"唯一","重复")</f>
        <v>唯一</v>
      </c>
      <c r="E105">
        <v>1</v>
      </c>
      <c r="F105" t="str">
        <f>IF(OR(表1[[#This Row],[Position]]="",表1[[#This Row],[Position]]&lt;=0),"异常/空","正常")</f>
        <v>正常</v>
      </c>
      <c r="G105">
        <v>0</v>
      </c>
      <c r="H105">
        <v>70</v>
      </c>
      <c r="I105">
        <v>2.31</v>
      </c>
      <c r="J105">
        <v>3</v>
      </c>
      <c r="K105">
        <v>0.01</v>
      </c>
      <c r="L105" t="str">
        <f>IF(OR(表1[[#This Row],[Traffic (%)]]&gt;=0,表1[[#This Row],[Traffic (%)]]&lt;=100),"正常","异常")</f>
        <v>正常</v>
      </c>
      <c r="M105">
        <v>6</v>
      </c>
      <c r="N105">
        <v>0</v>
      </c>
      <c r="O105">
        <v>0.14000000000000001</v>
      </c>
      <c r="P105" t="str">
        <f>IF(OR(表1[[#This Row],[Competition]]&lt;0,表1[[#This Row],[Competition]]&gt;1),"异常","正常")</f>
        <v>正常</v>
      </c>
      <c r="Q105">
        <v>4490000</v>
      </c>
      <c r="R105" t="s">
        <v>233</v>
      </c>
      <c r="S105" s="1">
        <v>45683</v>
      </c>
      <c r="T105" s="1" t="str">
        <f>IF(ISNUMBER(表1[[#This Row],[Last Seen]]),"日期正确","需要清洗")</f>
        <v>日期正确</v>
      </c>
      <c r="U105">
        <v>58</v>
      </c>
      <c r="V105" s="1" t="str">
        <f>IF(OR(表1[[#This Row],[Keyword Difficulty]]&lt;0,表1[[#This Row],[Keyword Difficulty]]&gt;100),"异常","正常")</f>
        <v>正常</v>
      </c>
    </row>
    <row r="106" spans="1:22" x14ac:dyDescent="0.2">
      <c r="A106" t="s">
        <v>66</v>
      </c>
      <c r="B106" t="s">
        <v>234</v>
      </c>
      <c r="C106" s="1" t="str">
        <f>LOWER(CLEAN(TRIM(表1[[#This Row],[Keyword]])))</f>
        <v>simplilear</v>
      </c>
      <c r="D106" s="1" t="str">
        <f>IF(COUNTIF(表1[Keyword_Clean],表1[[#This Row],[Keyword_Clean]])&gt;1,"唯一","重复")</f>
        <v>重复</v>
      </c>
      <c r="E106">
        <v>1</v>
      </c>
      <c r="F106" t="str">
        <f>IF(OR(表1[[#This Row],[Position]]="",表1[[#This Row],[Position]]&lt;=0),"异常/空","正常")</f>
        <v>正常</v>
      </c>
      <c r="G106">
        <v>1</v>
      </c>
      <c r="H106">
        <v>70</v>
      </c>
      <c r="I106">
        <v>1.88</v>
      </c>
      <c r="J106">
        <v>3</v>
      </c>
      <c r="K106">
        <v>0.01</v>
      </c>
      <c r="L106" t="str">
        <f>IF(OR(表1[[#This Row],[Traffic (%)]]&gt;=0,表1[[#This Row],[Traffic (%)]]&lt;=100),"正常","异常")</f>
        <v>正常</v>
      </c>
      <c r="M106">
        <v>5</v>
      </c>
      <c r="N106">
        <v>0</v>
      </c>
      <c r="O106">
        <v>0.16</v>
      </c>
      <c r="P106" t="str">
        <f>IF(OR(表1[[#This Row],[Competition]]&lt;0,表1[[#This Row],[Competition]]&gt;1),"异常","正常")</f>
        <v>正常</v>
      </c>
      <c r="Q106">
        <v>4610000</v>
      </c>
      <c r="R106" t="s">
        <v>235</v>
      </c>
      <c r="S106" s="1">
        <v>45659</v>
      </c>
      <c r="T106" s="1" t="str">
        <f>IF(ISNUMBER(表1[[#This Row],[Last Seen]]),"日期正确","需要清洗")</f>
        <v>日期正确</v>
      </c>
      <c r="U106">
        <v>68</v>
      </c>
      <c r="V106" s="1" t="str">
        <f>IF(OR(表1[[#This Row],[Keyword Difficulty]]&lt;0,表1[[#This Row],[Keyword Difficulty]]&gt;100),"异常","正常")</f>
        <v>正常</v>
      </c>
    </row>
    <row r="107" spans="1:22" x14ac:dyDescent="0.2">
      <c r="A107" t="s">
        <v>236</v>
      </c>
      <c r="B107" t="s">
        <v>237</v>
      </c>
      <c r="C107" s="1" t="str">
        <f>LOWER(CLEAN(TRIM(表1[[#This Row],[Keyword]])))</f>
        <v>simply lern</v>
      </c>
      <c r="D107" s="1" t="str">
        <f>IF(COUNTIF(表1[Keyword_Clean],表1[[#This Row],[Keyword_Clean]])&gt;1,"唯一","重复")</f>
        <v>重复</v>
      </c>
      <c r="E107">
        <v>1</v>
      </c>
      <c r="F107" t="str">
        <f>IF(OR(表1[[#This Row],[Position]]="",表1[[#This Row],[Position]]&lt;=0),"异常/空","正常")</f>
        <v>正常</v>
      </c>
      <c r="G107">
        <v>1</v>
      </c>
      <c r="H107">
        <v>70</v>
      </c>
      <c r="I107">
        <v>0</v>
      </c>
      <c r="J107">
        <v>3</v>
      </c>
      <c r="K107">
        <v>0.01</v>
      </c>
      <c r="L107" t="str">
        <f>IF(OR(表1[[#This Row],[Traffic (%)]]&gt;=0,表1[[#This Row],[Traffic (%)]]&lt;=100),"正常","异常")</f>
        <v>正常</v>
      </c>
      <c r="M107">
        <v>0</v>
      </c>
      <c r="N107">
        <v>0</v>
      </c>
      <c r="O107">
        <v>0</v>
      </c>
      <c r="P107" t="str">
        <f>IF(OR(表1[[#This Row],[Competition]]&lt;0,表1[[#This Row],[Competition]]&gt;1),"异常","正常")</f>
        <v>正常</v>
      </c>
      <c r="Q107">
        <v>4130000</v>
      </c>
      <c r="R107" t="s">
        <v>212</v>
      </c>
      <c r="S107" s="1">
        <v>45679</v>
      </c>
      <c r="T107" s="1" t="str">
        <f>IF(ISNUMBER(表1[[#This Row],[Last Seen]]),"日期正确","需要清洗")</f>
        <v>日期正确</v>
      </c>
      <c r="U107">
        <v>47</v>
      </c>
      <c r="V107" s="1" t="str">
        <f>IF(OR(表1[[#This Row],[Keyword Difficulty]]&lt;0,表1[[#This Row],[Keyword Difficulty]]&gt;100),"异常","正常")</f>
        <v>正常</v>
      </c>
    </row>
    <row r="108" spans="1:22" x14ac:dyDescent="0.2">
      <c r="A108" t="s">
        <v>238</v>
      </c>
      <c r="B108" t="s">
        <v>239</v>
      </c>
      <c r="C108" s="1" t="str">
        <f>LOWER(CLEAN(TRIM(表1[[#This Row],[Keyword]])))</f>
        <v>itil foundation mock exam</v>
      </c>
      <c r="D108" s="1" t="str">
        <f>IF(COUNTIF(表1[Keyword_Clean],表1[[#This Row],[Keyword_Clean]])&gt;1,"唯一","重复")</f>
        <v>重复</v>
      </c>
      <c r="E108">
        <v>1</v>
      </c>
      <c r="F108" t="str">
        <f>IF(OR(表1[[#This Row],[Position]]="",表1[[#This Row],[Position]]&lt;=0),"异常/空","正常")</f>
        <v>正常</v>
      </c>
      <c r="G108">
        <v>1</v>
      </c>
      <c r="H108">
        <v>70</v>
      </c>
      <c r="I108">
        <v>2.67</v>
      </c>
      <c r="J108">
        <v>3</v>
      </c>
      <c r="K108">
        <v>0.01</v>
      </c>
      <c r="L108" t="str">
        <f>IF(OR(表1[[#This Row],[Traffic (%)]]&gt;=0,表1[[#This Row],[Traffic (%)]]&lt;=100),"正常","异常")</f>
        <v>正常</v>
      </c>
      <c r="M108">
        <v>8</v>
      </c>
      <c r="N108">
        <v>0.01</v>
      </c>
      <c r="O108">
        <v>0.28000000000000003</v>
      </c>
      <c r="P108" t="str">
        <f>IF(OR(表1[[#This Row],[Competition]]&lt;0,表1[[#This Row],[Competition]]&gt;1),"异常","正常")</f>
        <v>正常</v>
      </c>
      <c r="Q108">
        <v>313000</v>
      </c>
      <c r="R108" t="s">
        <v>240</v>
      </c>
      <c r="S108" s="1">
        <v>45657</v>
      </c>
      <c r="T108" s="1" t="str">
        <f>IF(ISNUMBER(表1[[#This Row],[Last Seen]]),"日期正确","需要清洗")</f>
        <v>日期正确</v>
      </c>
      <c r="U108">
        <v>16</v>
      </c>
      <c r="V108" s="1" t="str">
        <f>IF(OR(表1[[#This Row],[Keyword Difficulty]]&lt;0,表1[[#This Row],[Keyword Difficulty]]&gt;100),"异常","正常")</f>
        <v>正常</v>
      </c>
    </row>
    <row r="109" spans="1:22" x14ac:dyDescent="0.2">
      <c r="A109" t="s">
        <v>241</v>
      </c>
      <c r="B109" t="s">
        <v>242</v>
      </c>
      <c r="C109" s="1" t="str">
        <f>LOWER(CLEAN(TRIM(表1[[#This Row],[Keyword]])))</f>
        <v>best aws learning tutorial</v>
      </c>
      <c r="D109" s="1" t="str">
        <f>IF(COUNTIF(表1[Keyword_Clean],表1[[#This Row],[Keyword_Clean]])&gt;1,"唯一","重复")</f>
        <v>重复</v>
      </c>
      <c r="E109">
        <v>5</v>
      </c>
      <c r="F109" t="str">
        <f>IF(OR(表1[[#This Row],[Position]]="",表1[[#This Row],[Position]]&lt;=0),"异常/空","正常")</f>
        <v>正常</v>
      </c>
      <c r="G109">
        <v>5</v>
      </c>
      <c r="H109">
        <v>720</v>
      </c>
      <c r="I109">
        <v>0</v>
      </c>
      <c r="J109">
        <v>3</v>
      </c>
      <c r="K109">
        <v>0.01</v>
      </c>
      <c r="L109" t="str">
        <f>IF(OR(表1[[#This Row],[Traffic (%)]]&gt;=0,表1[[#This Row],[Traffic (%)]]&lt;=100),"正常","异常")</f>
        <v>正常</v>
      </c>
      <c r="M109">
        <v>0</v>
      </c>
      <c r="N109">
        <v>0</v>
      </c>
      <c r="O109">
        <v>0</v>
      </c>
      <c r="P109" t="str">
        <f>IF(OR(表1[[#This Row],[Competition]]&lt;0,表1[[#This Row],[Competition]]&gt;1),"异常","正常")</f>
        <v>正常</v>
      </c>
      <c r="Q109">
        <v>45700000</v>
      </c>
      <c r="R109" t="s">
        <v>243</v>
      </c>
      <c r="S109" s="1">
        <v>45680</v>
      </c>
      <c r="T109" s="1" t="str">
        <f>IF(ISNUMBER(表1[[#This Row],[Last Seen]]),"日期正确","需要清洗")</f>
        <v>日期正确</v>
      </c>
      <c r="U109">
        <v>47</v>
      </c>
      <c r="V109" s="1" t="str">
        <f>IF(OR(表1[[#This Row],[Keyword Difficulty]]&lt;0,表1[[#This Row],[Keyword Difficulty]]&gt;100),"异常","正常")</f>
        <v>正常</v>
      </c>
    </row>
    <row r="110" spans="1:22" x14ac:dyDescent="0.2">
      <c r="A110" t="s">
        <v>66</v>
      </c>
      <c r="B110" t="s">
        <v>244</v>
      </c>
      <c r="C110" s="1" t="str">
        <f>LOWER(CLEAN(TRIM(表1[[#This Row],[Keyword]])))</f>
        <v>simplilearns</v>
      </c>
      <c r="D110" s="1" t="str">
        <f>IF(COUNTIF(表1[Keyword_Clean],表1[[#This Row],[Keyword_Clean]])&gt;1,"唯一","重复")</f>
        <v>唯一</v>
      </c>
      <c r="E110">
        <v>1</v>
      </c>
      <c r="F110" t="str">
        <f>IF(OR(表1[[#This Row],[Position]]="",表1[[#This Row],[Position]]&lt;=0),"异常/空","正常")</f>
        <v>正常</v>
      </c>
      <c r="G110">
        <v>1</v>
      </c>
      <c r="H110">
        <v>50</v>
      </c>
      <c r="I110">
        <v>2.31</v>
      </c>
      <c r="J110">
        <v>2</v>
      </c>
      <c r="K110">
        <v>0.01</v>
      </c>
      <c r="L110" t="str">
        <f>IF(OR(表1[[#This Row],[Traffic (%)]]&gt;=0,表1[[#This Row],[Traffic (%)]]&lt;=100),"正常","异常")</f>
        <v>正常</v>
      </c>
      <c r="M110">
        <v>4</v>
      </c>
      <c r="N110">
        <v>0</v>
      </c>
      <c r="O110">
        <v>0.14000000000000001</v>
      </c>
      <c r="P110" t="str">
        <f>IF(OR(表1[[#This Row],[Competition]]&lt;0,表1[[#This Row],[Competition]]&gt;1),"异常","正常")</f>
        <v>正常</v>
      </c>
      <c r="Q110">
        <v>4410000</v>
      </c>
      <c r="R110" t="s">
        <v>177</v>
      </c>
      <c r="S110" s="1">
        <v>45674</v>
      </c>
      <c r="T110" s="1" t="str">
        <f>IF(ISNUMBER(表1[[#This Row],[Last Seen]]),"日期正确","需要清洗")</f>
        <v>日期正确</v>
      </c>
      <c r="U110">
        <v>76</v>
      </c>
      <c r="V110" s="1" t="str">
        <f>IF(OR(表1[[#This Row],[Keyword Difficulty]]&lt;0,表1[[#This Row],[Keyword Difficulty]]&gt;100),"异常","正常")</f>
        <v>正常</v>
      </c>
    </row>
    <row r="111" spans="1:22" x14ac:dyDescent="0.2">
      <c r="A111" t="s">
        <v>245</v>
      </c>
      <c r="B111" t="s">
        <v>246</v>
      </c>
      <c r="C111" s="1" t="str">
        <f>LOWER(CLEAN(TRIM(表1[[#This Row],[Keyword]])))</f>
        <v>pmp certification courses online</v>
      </c>
      <c r="D111" s="1" t="str">
        <f>IF(COUNTIF(表1[Keyword_Clean],表1[[#This Row],[Keyword_Clean]])&gt;1,"唯一","重复")</f>
        <v>重复</v>
      </c>
      <c r="E111">
        <v>3</v>
      </c>
      <c r="F111" t="str">
        <f>IF(OR(表1[[#This Row],[Position]]="",表1[[#This Row],[Position]]&lt;=0),"异常/空","正常")</f>
        <v>正常</v>
      </c>
      <c r="G111">
        <v>3</v>
      </c>
      <c r="H111">
        <v>260</v>
      </c>
      <c r="I111">
        <v>9.7799999999999994</v>
      </c>
      <c r="J111">
        <v>2</v>
      </c>
      <c r="K111">
        <v>0.01</v>
      </c>
      <c r="L111" t="str">
        <f>IF(OR(表1[[#This Row],[Traffic (%)]]&gt;=0,表1[[#This Row],[Traffic (%)]]&lt;=100),"正常","异常")</f>
        <v>正常</v>
      </c>
      <c r="M111">
        <v>19</v>
      </c>
      <c r="N111">
        <v>0.02</v>
      </c>
      <c r="O111">
        <v>0.62</v>
      </c>
      <c r="P111" t="str">
        <f>IF(OR(表1[[#This Row],[Competition]]&lt;0,表1[[#This Row],[Competition]]&gt;1),"异常","正常")</f>
        <v>正常</v>
      </c>
      <c r="Q111">
        <v>8930000</v>
      </c>
      <c r="R111" t="s">
        <v>247</v>
      </c>
      <c r="S111" s="1">
        <v>45653</v>
      </c>
      <c r="T111" s="1" t="str">
        <f>IF(ISNUMBER(表1[[#This Row],[Last Seen]]),"日期正确","需要清洗")</f>
        <v>日期正确</v>
      </c>
      <c r="U111">
        <v>57</v>
      </c>
      <c r="V111" s="1" t="str">
        <f>IF(OR(表1[[#This Row],[Keyword Difficulty]]&lt;0,表1[[#This Row],[Keyword Difficulty]]&gt;100),"异常","正常")</f>
        <v>正常</v>
      </c>
    </row>
    <row r="112" spans="1:22" x14ac:dyDescent="0.2">
      <c r="A112" t="s">
        <v>248</v>
      </c>
      <c r="B112" t="s">
        <v>249</v>
      </c>
      <c r="C112" s="1" t="str">
        <f>LOWER(CLEAN(TRIM(表1[[#This Row],[Keyword]])))</f>
        <v>online pmp certification training</v>
      </c>
      <c r="D112" s="1" t="str">
        <f>IF(COUNTIF(表1[Keyword_Clean],表1[[#This Row],[Keyword_Clean]])&gt;1,"唯一","重复")</f>
        <v>重复</v>
      </c>
      <c r="E112">
        <v>1</v>
      </c>
      <c r="F112" t="str">
        <f>IF(OR(表1[[#This Row],[Position]]="",表1[[#This Row],[Position]]&lt;=0),"异常/空","正常")</f>
        <v>正常</v>
      </c>
      <c r="G112">
        <v>1</v>
      </c>
      <c r="H112">
        <v>50</v>
      </c>
      <c r="I112">
        <v>11.09</v>
      </c>
      <c r="J112">
        <v>2</v>
      </c>
      <c r="K112">
        <v>0.01</v>
      </c>
      <c r="L112" t="str">
        <f>IF(OR(表1[[#This Row],[Traffic (%)]]&gt;=0,表1[[#This Row],[Traffic (%)]]&lt;=100),"正常","异常")</f>
        <v>正常</v>
      </c>
      <c r="M112">
        <v>22</v>
      </c>
      <c r="N112">
        <v>0.03</v>
      </c>
      <c r="O112">
        <v>0.48</v>
      </c>
      <c r="P112" t="str">
        <f>IF(OR(表1[[#This Row],[Competition]]&lt;0,表1[[#This Row],[Competition]]&gt;1),"异常","正常")</f>
        <v>正常</v>
      </c>
      <c r="Q112">
        <v>7540000</v>
      </c>
      <c r="R112" t="s">
        <v>250</v>
      </c>
      <c r="S112" s="1">
        <v>45653</v>
      </c>
      <c r="T112" s="1" t="str">
        <f>IF(ISNUMBER(表1[[#This Row],[Last Seen]]),"日期正确","需要清洗")</f>
        <v>日期正确</v>
      </c>
      <c r="U112">
        <v>57</v>
      </c>
      <c r="V112" s="1" t="str">
        <f>IF(OR(表1[[#This Row],[Keyword Difficulty]]&lt;0,表1[[#This Row],[Keyword Difficulty]]&gt;100),"异常","正常")</f>
        <v>正常</v>
      </c>
    </row>
    <row r="113" spans="1:22" x14ac:dyDescent="0.2">
      <c r="A113" t="s">
        <v>251</v>
      </c>
      <c r="B113" t="s">
        <v>252</v>
      </c>
      <c r="C113" s="1" t="str">
        <f>LOWER(CLEAN(TRIM(表1[[#This Row],[Keyword]])))</f>
        <v>csm scrum master certification</v>
      </c>
      <c r="D113" s="1" t="str">
        <f>IF(COUNTIF(表1[Keyword_Clean],表1[[#This Row],[Keyword_Clean]])&gt;1,"唯一","重复")</f>
        <v>重复</v>
      </c>
      <c r="E113">
        <v>2</v>
      </c>
      <c r="F113" t="str">
        <f>IF(OR(表1[[#This Row],[Position]]="",表1[[#This Row],[Position]]&lt;=0),"异常/空","正常")</f>
        <v>正常</v>
      </c>
      <c r="G113">
        <v>2</v>
      </c>
      <c r="H113">
        <v>210</v>
      </c>
      <c r="I113">
        <v>3.23</v>
      </c>
      <c r="J113">
        <v>2</v>
      </c>
      <c r="K113">
        <v>0.01</v>
      </c>
      <c r="L113" t="str">
        <f>IF(OR(表1[[#This Row],[Traffic (%)]]&gt;=0,表1[[#This Row],[Traffic (%)]]&lt;=100),"正常","异常")</f>
        <v>正常</v>
      </c>
      <c r="M113">
        <v>6</v>
      </c>
      <c r="N113">
        <v>0</v>
      </c>
      <c r="O113">
        <v>0.4</v>
      </c>
      <c r="P113" t="str">
        <f>IF(OR(表1[[#This Row],[Competition]]&lt;0,表1[[#This Row],[Competition]]&gt;1),"异常","正常")</f>
        <v>正常</v>
      </c>
      <c r="Q113">
        <v>4620000</v>
      </c>
      <c r="R113" t="s">
        <v>253</v>
      </c>
      <c r="S113" s="1">
        <v>45682</v>
      </c>
      <c r="T113" s="1" t="str">
        <f>IF(ISNUMBER(表1[[#This Row],[Last Seen]]),"日期正确","需要清洗")</f>
        <v>日期正确</v>
      </c>
      <c r="U113">
        <v>48</v>
      </c>
      <c r="V113" s="1" t="str">
        <f>IF(OR(表1[[#This Row],[Keyword Difficulty]]&lt;0,表1[[#This Row],[Keyword Difficulty]]&gt;100),"异常","正常")</f>
        <v>正常</v>
      </c>
    </row>
    <row r="114" spans="1:22" x14ac:dyDescent="0.2">
      <c r="A114" t="s">
        <v>254</v>
      </c>
      <c r="B114" t="s">
        <v>255</v>
      </c>
      <c r="C114" s="1" t="str">
        <f>LOWER(CLEAN(TRIM(表1[[#This Row],[Keyword]])))</f>
        <v>pmp prep classes</v>
      </c>
      <c r="D114" s="1" t="str">
        <f>IF(COUNTIF(表1[Keyword_Clean],表1[[#This Row],[Keyword_Clean]])&gt;1,"唯一","重复")</f>
        <v>重复</v>
      </c>
      <c r="E114">
        <v>5</v>
      </c>
      <c r="F114" t="str">
        <f>IF(OR(表1[[#This Row],[Position]]="",表1[[#This Row],[Position]]&lt;=0),"异常/空","正常")</f>
        <v>正常</v>
      </c>
      <c r="G114">
        <v>5</v>
      </c>
      <c r="H114">
        <v>590</v>
      </c>
      <c r="I114">
        <v>10.08</v>
      </c>
      <c r="J114">
        <v>2</v>
      </c>
      <c r="K114">
        <v>0.01</v>
      </c>
      <c r="L114" t="str">
        <f>IF(OR(表1[[#This Row],[Traffic (%)]]&gt;=0,表1[[#This Row],[Traffic (%)]]&lt;=100),"正常","异常")</f>
        <v>正常</v>
      </c>
      <c r="M114">
        <v>20</v>
      </c>
      <c r="N114">
        <v>0.03</v>
      </c>
      <c r="O114">
        <v>0.55000000000000004</v>
      </c>
      <c r="P114" t="str">
        <f>IF(OR(表1[[#This Row],[Competition]]&lt;0,表1[[#This Row],[Competition]]&gt;1),"异常","正常")</f>
        <v>正常</v>
      </c>
      <c r="Q114">
        <v>490000</v>
      </c>
      <c r="R114" t="s">
        <v>256</v>
      </c>
      <c r="S114" s="1">
        <v>45658</v>
      </c>
      <c r="T114" s="1" t="str">
        <f>IF(ISNUMBER(表1[[#This Row],[Last Seen]]),"日期正确","需要清洗")</f>
        <v>日期正确</v>
      </c>
      <c r="U114">
        <v>49</v>
      </c>
      <c r="V114" s="1" t="str">
        <f>IF(OR(表1[[#This Row],[Keyword Difficulty]]&lt;0,表1[[#This Row],[Keyword Difficulty]]&gt;100),"异常","正常")</f>
        <v>正常</v>
      </c>
    </row>
    <row r="115" spans="1:22" x14ac:dyDescent="0.2">
      <c r="A115" t="s">
        <v>257</v>
      </c>
      <c r="B115" t="s">
        <v>258</v>
      </c>
      <c r="C115" s="1" t="str">
        <f>LOWER(CLEAN(TRIM(表1[[#This Row],[Keyword]])))</f>
        <v>simplilerarn</v>
      </c>
      <c r="D115" s="1" t="str">
        <f>IF(COUNTIF(表1[Keyword_Clean],表1[[#This Row],[Keyword_Clean]])&gt;1,"唯一","重复")</f>
        <v>重复</v>
      </c>
      <c r="E115">
        <v>1</v>
      </c>
      <c r="F115" t="str">
        <f>IF(OR(表1[[#This Row],[Position]]="",表1[[#This Row],[Position]]&lt;=0),"异常/空","正常")</f>
        <v>正常</v>
      </c>
      <c r="G115">
        <v>1</v>
      </c>
      <c r="H115">
        <v>50</v>
      </c>
      <c r="I115">
        <v>2.31</v>
      </c>
      <c r="J115">
        <v>2</v>
      </c>
      <c r="K115">
        <v>0.01</v>
      </c>
      <c r="L115" t="str">
        <f>IF(OR(表1[[#This Row],[Traffic (%)]]&gt;=0,表1[[#This Row],[Traffic (%)]]&lt;=100),"正常","异常")</f>
        <v>正常</v>
      </c>
      <c r="M115">
        <v>4</v>
      </c>
      <c r="N115">
        <v>0</v>
      </c>
      <c r="O115">
        <v>0.14000000000000001</v>
      </c>
      <c r="P115" t="str">
        <f>IF(OR(表1[[#This Row],[Competition]]&lt;0,表1[[#This Row],[Competition]]&gt;1),"异常","正常")</f>
        <v>正常</v>
      </c>
      <c r="Q115">
        <v>4770000</v>
      </c>
      <c r="R115" t="s">
        <v>259</v>
      </c>
      <c r="S115" s="1">
        <v>45663</v>
      </c>
      <c r="T115" s="1" t="str">
        <f>IF(ISNUMBER(表1[[#This Row],[Last Seen]]),"日期正确","需要清洗")</f>
        <v>日期正确</v>
      </c>
      <c r="U115">
        <v>39</v>
      </c>
      <c r="V115" s="1" t="str">
        <f>IF(OR(表1[[#This Row],[Keyword Difficulty]]&lt;0,表1[[#This Row],[Keyword Difficulty]]&gt;100),"异常","正常")</f>
        <v>正常</v>
      </c>
    </row>
    <row r="116" spans="1:22" x14ac:dyDescent="0.2">
      <c r="A116" t="s">
        <v>260</v>
      </c>
      <c r="B116" t="s">
        <v>261</v>
      </c>
      <c r="C116" s="1" t="str">
        <f>LOWER(CLEAN(TRIM(表1[[#This Row],[Keyword]])))</f>
        <v>pmp test requirements</v>
      </c>
      <c r="D116" s="1" t="str">
        <f>IF(COUNTIF(表1[Keyword_Clean],表1[[#This Row],[Keyword_Clean]])&gt;1,"唯一","重复")</f>
        <v>重复</v>
      </c>
      <c r="E116">
        <v>3</v>
      </c>
      <c r="F116" t="str">
        <f>IF(OR(表1[[#This Row],[Position]]="",表1[[#This Row],[Position]]&lt;=0),"异常/空","正常")</f>
        <v>正常</v>
      </c>
      <c r="G116">
        <v>3</v>
      </c>
      <c r="H116">
        <v>260</v>
      </c>
      <c r="I116">
        <v>1.67</v>
      </c>
      <c r="J116">
        <v>2</v>
      </c>
      <c r="K116">
        <v>0.01</v>
      </c>
      <c r="L116" t="str">
        <f>IF(OR(表1[[#This Row],[Traffic (%)]]&gt;=0,表1[[#This Row],[Traffic (%)]]&lt;=100),"正常","异常")</f>
        <v>正常</v>
      </c>
      <c r="M116">
        <v>3</v>
      </c>
      <c r="N116">
        <v>0</v>
      </c>
      <c r="O116">
        <v>0.31</v>
      </c>
      <c r="P116" t="str">
        <f>IF(OR(表1[[#This Row],[Competition]]&lt;0,表1[[#This Row],[Competition]]&gt;1),"异常","正常")</f>
        <v>正常</v>
      </c>
      <c r="Q116">
        <v>64800000</v>
      </c>
      <c r="R116" t="s">
        <v>262</v>
      </c>
      <c r="S116" s="1">
        <v>45658</v>
      </c>
      <c r="T116" s="1" t="str">
        <f>IF(ISNUMBER(表1[[#This Row],[Last Seen]]),"日期正确","需要清洗")</f>
        <v>日期正确</v>
      </c>
      <c r="U116">
        <v>47</v>
      </c>
      <c r="V116" s="1" t="str">
        <f>IF(OR(表1[[#This Row],[Keyword Difficulty]]&lt;0,表1[[#This Row],[Keyword Difficulty]]&gt;100),"异常","正常")</f>
        <v>正常</v>
      </c>
    </row>
    <row r="117" spans="1:22" x14ac:dyDescent="0.2">
      <c r="A117" t="s">
        <v>263</v>
      </c>
      <c r="B117" t="s">
        <v>264</v>
      </c>
      <c r="C117" s="1" t="str">
        <f>LOWER(CLEAN(TRIM(表1[[#This Row],[Keyword]])))</f>
        <v>itil 4 foundation exam cost</v>
      </c>
      <c r="D117" s="1" t="str">
        <f>IF(COUNTIF(表1[Keyword_Clean],表1[[#This Row],[Keyword_Clean]])&gt;1,"唯一","重复")</f>
        <v>重复</v>
      </c>
      <c r="E117">
        <v>3</v>
      </c>
      <c r="F117" t="str">
        <f>IF(OR(表1[[#This Row],[Position]]="",表1[[#This Row],[Position]]&lt;=0),"异常/空","正常")</f>
        <v>正常</v>
      </c>
      <c r="G117">
        <v>0</v>
      </c>
      <c r="H117">
        <v>320</v>
      </c>
      <c r="I117">
        <v>2.48</v>
      </c>
      <c r="J117">
        <v>2</v>
      </c>
      <c r="K117">
        <v>0.01</v>
      </c>
      <c r="L117" t="str">
        <f>IF(OR(表1[[#This Row],[Traffic (%)]]&gt;=0,表1[[#This Row],[Traffic (%)]]&lt;=100),"正常","异常")</f>
        <v>正常</v>
      </c>
      <c r="M117">
        <v>4</v>
      </c>
      <c r="N117">
        <v>0</v>
      </c>
      <c r="O117">
        <v>0.47</v>
      </c>
      <c r="P117" t="str">
        <f>IF(OR(表1[[#This Row],[Competition]]&lt;0,表1[[#This Row],[Competition]]&gt;1),"异常","正常")</f>
        <v>正常</v>
      </c>
      <c r="Q117">
        <v>1050000</v>
      </c>
      <c r="R117" t="s">
        <v>265</v>
      </c>
      <c r="S117" s="1">
        <v>45683</v>
      </c>
      <c r="T117" s="1" t="str">
        <f>IF(ISNUMBER(表1[[#This Row],[Last Seen]]),"日期正确","需要清洗")</f>
        <v>日期正确</v>
      </c>
      <c r="U117">
        <v>24</v>
      </c>
      <c r="V117" s="1" t="str">
        <f>IF(OR(表1[[#This Row],[Keyword Difficulty]]&lt;0,表1[[#This Row],[Keyword Difficulty]]&gt;100),"异常","正常")</f>
        <v>正常</v>
      </c>
    </row>
    <row r="118" spans="1:22" x14ac:dyDescent="0.2">
      <c r="A118" t="s">
        <v>128</v>
      </c>
      <c r="B118" t="s">
        <v>266</v>
      </c>
      <c r="C118" s="1" t="str">
        <f>LOWER(CLEAN(TRIM(表1[[#This Row],[Keyword]])))</f>
        <v>simple lern</v>
      </c>
      <c r="D118" s="1" t="str">
        <f>IF(COUNTIF(表1[Keyword_Clean],表1[[#This Row],[Keyword_Clean]])&gt;1,"唯一","重复")</f>
        <v>重复</v>
      </c>
      <c r="E118">
        <v>1</v>
      </c>
      <c r="F118" t="str">
        <f>IF(OR(表1[[#This Row],[Position]]="",表1[[#This Row],[Position]]&lt;=0),"异常/空","正常")</f>
        <v>正常</v>
      </c>
      <c r="G118">
        <v>1</v>
      </c>
      <c r="H118">
        <v>50</v>
      </c>
      <c r="I118">
        <v>2.31</v>
      </c>
      <c r="J118">
        <v>2</v>
      </c>
      <c r="K118">
        <v>0.01</v>
      </c>
      <c r="L118" t="str">
        <f>IF(OR(表1[[#This Row],[Traffic (%)]]&gt;=0,表1[[#This Row],[Traffic (%)]]&lt;=100),"正常","异常")</f>
        <v>正常</v>
      </c>
      <c r="M118">
        <v>4</v>
      </c>
      <c r="N118">
        <v>0</v>
      </c>
      <c r="O118">
        <v>0.14000000000000001</v>
      </c>
      <c r="P118" t="str">
        <f>IF(OR(表1[[#This Row],[Competition]]&lt;0,表1[[#This Row],[Competition]]&gt;1),"异常","正常")</f>
        <v>正常</v>
      </c>
      <c r="Q118">
        <v>4340000</v>
      </c>
      <c r="R118" t="s">
        <v>267</v>
      </c>
      <c r="S118" s="1">
        <v>45678</v>
      </c>
      <c r="T118" s="1" t="str">
        <f>IF(ISNUMBER(表1[[#This Row],[Last Seen]]),"日期正确","需要清洗")</f>
        <v>日期正确</v>
      </c>
      <c r="V118" s="1" t="str">
        <f>IF(OR(表1[[#This Row],[Keyword Difficulty]]&lt;0,表1[[#This Row],[Keyword Difficulty]]&gt;100),"异常","正常")</f>
        <v>正常</v>
      </c>
    </row>
    <row r="119" spans="1:22" x14ac:dyDescent="0.2">
      <c r="A119" t="s">
        <v>268</v>
      </c>
      <c r="B119" t="s">
        <v>269</v>
      </c>
      <c r="C119" s="1" t="str">
        <f>LOWER(CLEAN(TRIM(表1[[#This Row],[Keyword]])))</f>
        <v>capm course</v>
      </c>
      <c r="D119" s="1" t="str">
        <f>IF(COUNTIF(表1[Keyword_Clean],表1[[#This Row],[Keyword_Clean]])&gt;1,"唯一","重复")</f>
        <v>重复</v>
      </c>
      <c r="E119">
        <v>6</v>
      </c>
      <c r="F119" t="str">
        <f>IF(OR(表1[[#This Row],[Position]]="",表1[[#This Row],[Position]]&lt;=0),"异常/空","正常")</f>
        <v>正常</v>
      </c>
      <c r="G119">
        <v>0</v>
      </c>
      <c r="H119">
        <v>590</v>
      </c>
      <c r="I119">
        <v>4.5</v>
      </c>
      <c r="J119">
        <v>2</v>
      </c>
      <c r="K119">
        <v>0.01</v>
      </c>
      <c r="L119" t="str">
        <f>IF(OR(表1[[#This Row],[Traffic (%)]]&gt;=0,表1[[#This Row],[Traffic (%)]]&lt;=100),"正常","异常")</f>
        <v>正常</v>
      </c>
      <c r="M119">
        <v>9</v>
      </c>
      <c r="N119">
        <v>0.01</v>
      </c>
      <c r="O119">
        <v>0.71</v>
      </c>
      <c r="P119" t="str">
        <f>IF(OR(表1[[#This Row],[Competition]]&lt;0,表1[[#This Row],[Competition]]&gt;1),"异常","正常")</f>
        <v>正常</v>
      </c>
      <c r="Q119">
        <v>8770000</v>
      </c>
      <c r="R119" t="s">
        <v>270</v>
      </c>
      <c r="S119" s="1">
        <v>45683</v>
      </c>
      <c r="T119" s="1" t="str">
        <f>IF(ISNUMBER(表1[[#This Row],[Last Seen]]),"日期正确","需要清洗")</f>
        <v>日期正确</v>
      </c>
      <c r="U119">
        <v>44</v>
      </c>
      <c r="V119" s="1" t="str">
        <f>IF(OR(表1[[#This Row],[Keyword Difficulty]]&lt;0,表1[[#This Row],[Keyword Difficulty]]&gt;100),"异常","正常")</f>
        <v>正常</v>
      </c>
    </row>
    <row r="120" spans="1:22" x14ac:dyDescent="0.2">
      <c r="A120" t="s">
        <v>196</v>
      </c>
      <c r="B120" t="s">
        <v>271</v>
      </c>
      <c r="C120" s="1" t="str">
        <f>LOWER(CLEAN(TRIM(表1[[#This Row],[Keyword]])))</f>
        <v>how much does it cost to do pmp-acp</v>
      </c>
      <c r="D120" s="1" t="str">
        <f>IF(COUNTIF(表1[Keyword_Clean],表1[[#This Row],[Keyword_Clean]])&gt;1,"唯一","重复")</f>
        <v>重复</v>
      </c>
      <c r="E120">
        <v>4</v>
      </c>
      <c r="F120" t="str">
        <f>IF(OR(表1[[#This Row],[Position]]="",表1[[#This Row],[Position]]&lt;=0),"异常/空","正常")</f>
        <v>正常</v>
      </c>
      <c r="G120">
        <v>4</v>
      </c>
      <c r="H120">
        <v>390</v>
      </c>
      <c r="I120">
        <v>0</v>
      </c>
      <c r="J120">
        <v>2</v>
      </c>
      <c r="K120">
        <v>0.01</v>
      </c>
      <c r="L120" t="str">
        <f>IF(OR(表1[[#This Row],[Traffic (%)]]&gt;=0,表1[[#This Row],[Traffic (%)]]&lt;=100),"正常","异常")</f>
        <v>正常</v>
      </c>
      <c r="M120">
        <v>0</v>
      </c>
      <c r="N120">
        <v>0</v>
      </c>
      <c r="O120">
        <v>0</v>
      </c>
      <c r="P120" t="str">
        <f>IF(OR(表1[[#This Row],[Competition]]&lt;0,表1[[#This Row],[Competition]]&gt;1),"异常","正常")</f>
        <v>正常</v>
      </c>
      <c r="Q120">
        <v>1910000</v>
      </c>
      <c r="R120" t="s">
        <v>272</v>
      </c>
      <c r="S120" s="1">
        <v>45662</v>
      </c>
      <c r="T120" s="1" t="str">
        <f>IF(ISNUMBER(表1[[#This Row],[Last Seen]]),"日期正确","需要清洗")</f>
        <v>日期正确</v>
      </c>
      <c r="U120">
        <v>22</v>
      </c>
      <c r="V120" s="1" t="str">
        <f>IF(OR(表1[[#This Row],[Keyword Difficulty]]&lt;0,表1[[#This Row],[Keyword Difficulty]]&gt;100),"异常","正常")</f>
        <v>正常</v>
      </c>
    </row>
    <row r="121" spans="1:22" x14ac:dyDescent="0.2">
      <c r="A121" t="s">
        <v>273</v>
      </c>
      <c r="B121" t="s">
        <v>274</v>
      </c>
      <c r="C121" s="1" t="str">
        <f>LOWER(CLEAN(TRIM(表1[[#This Row],[Keyword]])))</f>
        <v>itil foundation test online</v>
      </c>
      <c r="D121" s="1" t="str">
        <f>IF(COUNTIF(表1[Keyword_Clean],表1[[#This Row],[Keyword_Clean]])&gt;1,"唯一","重复")</f>
        <v>重复</v>
      </c>
      <c r="E121">
        <v>1</v>
      </c>
      <c r="F121" t="str">
        <f>IF(OR(表1[[#This Row],[Position]]="",表1[[#This Row],[Position]]&lt;=0),"异常/空","正常")</f>
        <v>正常</v>
      </c>
      <c r="G121">
        <v>1</v>
      </c>
      <c r="H121">
        <v>30</v>
      </c>
      <c r="I121">
        <v>3.34</v>
      </c>
      <c r="J121">
        <v>1</v>
      </c>
      <c r="K121">
        <v>0</v>
      </c>
      <c r="L121" t="str">
        <f>IF(OR(表1[[#This Row],[Traffic (%)]]&gt;=0,表1[[#This Row],[Traffic (%)]]&lt;=100),"正常","异常")</f>
        <v>正常</v>
      </c>
      <c r="M121">
        <v>3</v>
      </c>
      <c r="N121">
        <v>0</v>
      </c>
      <c r="O121">
        <v>0.6</v>
      </c>
      <c r="P121" t="str">
        <f>IF(OR(表1[[#This Row],[Competition]]&lt;0,表1[[#This Row],[Competition]]&gt;1),"异常","正常")</f>
        <v>正常</v>
      </c>
      <c r="Q121">
        <v>797000</v>
      </c>
      <c r="R121" t="s">
        <v>275</v>
      </c>
      <c r="S121" s="1">
        <v>45661</v>
      </c>
      <c r="T121" s="1" t="str">
        <f>IF(ISNUMBER(表1[[#This Row],[Last Seen]]),"日期正确","需要清洗")</f>
        <v>日期正确</v>
      </c>
      <c r="U121">
        <v>17</v>
      </c>
      <c r="V121" s="1" t="str">
        <f>IF(OR(表1[[#This Row],[Keyword Difficulty]]&lt;0,表1[[#This Row],[Keyword Difficulty]]&gt;100),"异常","正常")</f>
        <v>正常</v>
      </c>
    </row>
    <row r="122" spans="1:22" x14ac:dyDescent="0.2">
      <c r="A122" t="s">
        <v>276</v>
      </c>
      <c r="B122" t="s">
        <v>277</v>
      </c>
      <c r="C122" s="1" t="str">
        <f>LOWER(CLEAN(TRIM(表1[[#This Row],[Keyword]])))</f>
        <v>itil certification course online</v>
      </c>
      <c r="D122" s="1" t="str">
        <f>IF(COUNTIF(表1[Keyword_Clean],表1[[#This Row],[Keyword_Clean]])&gt;1,"唯一","重复")</f>
        <v>重复</v>
      </c>
      <c r="E122">
        <v>1</v>
      </c>
      <c r="F122" t="str">
        <f>IF(OR(表1[[#This Row],[Position]]="",表1[[#This Row],[Position]]&lt;=0),"异常/空","正常")</f>
        <v>正常</v>
      </c>
      <c r="G122">
        <v>1</v>
      </c>
      <c r="H122">
        <v>40</v>
      </c>
      <c r="I122">
        <v>6.05</v>
      </c>
      <c r="J122">
        <v>1</v>
      </c>
      <c r="K122">
        <v>0</v>
      </c>
      <c r="L122" t="str">
        <f>IF(OR(表1[[#This Row],[Traffic (%)]]&gt;=0,表1[[#This Row],[Traffic (%)]]&lt;=100),"正常","异常")</f>
        <v>正常</v>
      </c>
      <c r="M122">
        <v>6</v>
      </c>
      <c r="N122">
        <v>0</v>
      </c>
      <c r="O122">
        <v>0.24</v>
      </c>
      <c r="P122" t="str">
        <f>IF(OR(表1[[#This Row],[Competition]]&lt;0,表1[[#This Row],[Competition]]&gt;1),"异常","正常")</f>
        <v>正常</v>
      </c>
      <c r="Q122">
        <v>4950000</v>
      </c>
      <c r="R122" t="s">
        <v>278</v>
      </c>
      <c r="S122" s="1">
        <v>45679</v>
      </c>
      <c r="T122" s="1" t="str">
        <f>IF(ISNUMBER(表1[[#This Row],[Last Seen]]),"日期正确","需要清洗")</f>
        <v>日期正确</v>
      </c>
      <c r="U122">
        <v>32</v>
      </c>
      <c r="V122" s="1" t="str">
        <f>IF(OR(表1[[#This Row],[Keyword Difficulty]]&lt;0,表1[[#This Row],[Keyword Difficulty]]&gt;100),"异常","正常")</f>
        <v>正常</v>
      </c>
    </row>
    <row r="123" spans="1:22" x14ac:dyDescent="0.2">
      <c r="A123" t="s">
        <v>279</v>
      </c>
      <c r="B123" t="s">
        <v>280</v>
      </c>
      <c r="C123" s="1" t="str">
        <f>LOWER(CLEAN(TRIM(表1[[#This Row],[Keyword]])))</f>
        <v>pmp exam prep free</v>
      </c>
      <c r="D123" s="1" t="str">
        <f>IF(COUNTIF(表1[Keyword_Clean],表1[[#This Row],[Keyword_Clean]])&gt;1,"唯一","重复")</f>
        <v>重复</v>
      </c>
      <c r="E123">
        <v>1</v>
      </c>
      <c r="F123" t="str">
        <f>IF(OR(表1[[#This Row],[Position]]="",表1[[#This Row],[Position]]&lt;=0),"异常/空","正常")</f>
        <v>正常</v>
      </c>
      <c r="G123">
        <v>1</v>
      </c>
      <c r="H123">
        <v>40</v>
      </c>
      <c r="I123">
        <v>2.59</v>
      </c>
      <c r="J123">
        <v>1</v>
      </c>
      <c r="K123">
        <v>0</v>
      </c>
      <c r="L123" t="str">
        <f>IF(OR(表1[[#This Row],[Traffic (%)]]&gt;=0,表1[[#This Row],[Traffic (%)]]&lt;=100),"正常","异常")</f>
        <v>正常</v>
      </c>
      <c r="M123">
        <v>2</v>
      </c>
      <c r="N123">
        <v>0</v>
      </c>
      <c r="O123">
        <v>0.63</v>
      </c>
      <c r="P123" t="str">
        <f>IF(OR(表1[[#This Row],[Competition]]&lt;0,表1[[#This Row],[Competition]]&gt;1),"异常","正常")</f>
        <v>正常</v>
      </c>
      <c r="Q123">
        <v>2620000</v>
      </c>
      <c r="R123" t="s">
        <v>281</v>
      </c>
      <c r="S123" s="1">
        <v>45681</v>
      </c>
      <c r="T123" s="1" t="str">
        <f>IF(ISNUMBER(表1[[#This Row],[Last Seen]]),"日期正确","需要清洗")</f>
        <v>日期正确</v>
      </c>
      <c r="U123">
        <v>30</v>
      </c>
      <c r="V123" s="1" t="str">
        <f>IF(OR(表1[[#This Row],[Keyword Difficulty]]&lt;0,表1[[#This Row],[Keyword Difficulty]]&gt;100),"异常","正常")</f>
        <v>正常</v>
      </c>
    </row>
    <row r="124" spans="1:22" x14ac:dyDescent="0.2">
      <c r="A124" t="s">
        <v>282</v>
      </c>
      <c r="B124" t="s">
        <v>283</v>
      </c>
      <c r="C124" s="1" t="str">
        <f>LOWER(CLEAN(TRIM(表1[[#This Row],[Keyword]])))</f>
        <v>certified associate in project management capm course</v>
      </c>
      <c r="D124" s="1" t="str">
        <f>IF(COUNTIF(表1[Keyword_Clean],表1[[#This Row],[Keyword_Clean]])&gt;1,"唯一","重复")</f>
        <v>唯一</v>
      </c>
      <c r="E124">
        <v>2</v>
      </c>
      <c r="F124" t="str">
        <f>IF(OR(表1[[#This Row],[Position]]="",表1[[#This Row],[Position]]&lt;=0),"异常/空","正常")</f>
        <v>正常</v>
      </c>
      <c r="G124">
        <v>2</v>
      </c>
      <c r="H124">
        <v>110</v>
      </c>
      <c r="I124">
        <v>6.11</v>
      </c>
      <c r="J124">
        <v>1</v>
      </c>
      <c r="K124">
        <v>0</v>
      </c>
      <c r="L124" t="str">
        <f>IF(OR(表1[[#This Row],[Traffic (%)]]&gt;=0,表1[[#This Row],[Traffic (%)]]&lt;=100),"正常","异常")</f>
        <v>正常</v>
      </c>
      <c r="M124">
        <v>6</v>
      </c>
      <c r="N124">
        <v>0</v>
      </c>
      <c r="O124">
        <v>0.75</v>
      </c>
      <c r="P124" t="str">
        <f>IF(OR(表1[[#This Row],[Competition]]&lt;0,表1[[#This Row],[Competition]]&gt;1),"异常","正常")</f>
        <v>正常</v>
      </c>
      <c r="Q124">
        <v>328000</v>
      </c>
      <c r="R124" t="s">
        <v>284</v>
      </c>
      <c r="S124" s="1">
        <v>45678</v>
      </c>
      <c r="T124" s="1" t="str">
        <f>IF(ISNUMBER(表1[[#This Row],[Last Seen]]),"日期正确","需要清洗")</f>
        <v>日期正确</v>
      </c>
      <c r="U124">
        <v>27</v>
      </c>
      <c r="V124" s="1" t="str">
        <f>IF(OR(表1[[#This Row],[Keyword Difficulty]]&lt;0,表1[[#This Row],[Keyword Difficulty]]&gt;100),"异常","正常")</f>
        <v>正常</v>
      </c>
    </row>
    <row r="125" spans="1:22" x14ac:dyDescent="0.2">
      <c r="A125" t="s">
        <v>96</v>
      </c>
      <c r="B125" t="s">
        <v>285</v>
      </c>
      <c r="C125" s="1" t="str">
        <f>LOWER(CLEAN(TRIM(表1[[#This Row],[Keyword]])))</f>
        <v>pmp certificaiton</v>
      </c>
      <c r="D125" s="1" t="str">
        <f>IF(COUNTIF(表1[Keyword_Clean],表1[[#This Row],[Keyword_Clean]])&gt;1,"唯一","重复")</f>
        <v>重复</v>
      </c>
      <c r="E125">
        <v>2</v>
      </c>
      <c r="F125" t="str">
        <f>IF(OR(表1[[#This Row],[Position]]="",表1[[#This Row],[Position]]&lt;=0),"异常/空","正常")</f>
        <v>正常</v>
      </c>
      <c r="G125">
        <v>2</v>
      </c>
      <c r="H125">
        <v>140</v>
      </c>
      <c r="I125">
        <v>3.38</v>
      </c>
      <c r="J125">
        <v>1</v>
      </c>
      <c r="K125">
        <v>0</v>
      </c>
      <c r="L125" t="str">
        <f>IF(OR(表1[[#This Row],[Traffic (%)]]&gt;=0,表1[[#This Row],[Traffic (%)]]&lt;=100),"正常","异常")</f>
        <v>正常</v>
      </c>
      <c r="M125">
        <v>3</v>
      </c>
      <c r="N125">
        <v>0</v>
      </c>
      <c r="O125">
        <v>0.62</v>
      </c>
      <c r="P125" t="str">
        <f>IF(OR(表1[[#This Row],[Competition]]&lt;0,表1[[#This Row],[Competition]]&gt;1),"异常","正常")</f>
        <v>正常</v>
      </c>
      <c r="Q125">
        <v>200000000</v>
      </c>
      <c r="R125" t="s">
        <v>286</v>
      </c>
      <c r="S125" s="1">
        <v>45669</v>
      </c>
      <c r="T125" s="1" t="str">
        <f>IF(ISNUMBER(表1[[#This Row],[Last Seen]]),"日期正确","需要清洗")</f>
        <v>日期正确</v>
      </c>
      <c r="U125">
        <v>77</v>
      </c>
      <c r="V125" s="1" t="str">
        <f>IF(OR(表1[[#This Row],[Keyword Difficulty]]&lt;0,表1[[#This Row],[Keyword Difficulty]]&gt;100),"异常","正常")</f>
        <v>正常</v>
      </c>
    </row>
    <row r="126" spans="1:22" x14ac:dyDescent="0.2">
      <c r="A126" t="s">
        <v>36</v>
      </c>
      <c r="B126" t="s">
        <v>163</v>
      </c>
      <c r="C126" s="1" t="str">
        <f>LOWER(CLEAN(TRIM(表1[[#This Row],[Keyword]])))</f>
        <v>smplilearn</v>
      </c>
      <c r="D126" s="1" t="str">
        <f>IF(COUNTIF(表1[Keyword_Clean],表1[[#This Row],[Keyword_Clean]])&gt;1,"唯一","重复")</f>
        <v>唯一</v>
      </c>
      <c r="E126">
        <v>2</v>
      </c>
      <c r="F126" t="str">
        <f>IF(OR(表1[[#This Row],[Position]]="",表1[[#This Row],[Position]]&lt;=0),"异常/空","正常")</f>
        <v>正常</v>
      </c>
      <c r="G126">
        <v>2</v>
      </c>
      <c r="H126">
        <v>140</v>
      </c>
      <c r="I126">
        <v>2.31</v>
      </c>
      <c r="J126">
        <v>1</v>
      </c>
      <c r="K126">
        <v>0</v>
      </c>
      <c r="L126" t="str">
        <f>IF(OR(表1[[#This Row],[Traffic (%)]]&gt;=0,表1[[#This Row],[Traffic (%)]]&lt;=100),"正常","异常")</f>
        <v>正常</v>
      </c>
      <c r="M126">
        <v>2</v>
      </c>
      <c r="N126">
        <v>0</v>
      </c>
      <c r="O126">
        <v>0.14000000000000001</v>
      </c>
      <c r="P126" t="str">
        <f>IF(OR(表1[[#This Row],[Competition]]&lt;0,表1[[#This Row],[Competition]]&gt;1),"异常","正常")</f>
        <v>正常</v>
      </c>
      <c r="Q126">
        <v>4210000</v>
      </c>
      <c r="R126" t="s">
        <v>164</v>
      </c>
      <c r="S126" s="1">
        <v>45679</v>
      </c>
      <c r="T126" s="1" t="str">
        <f>IF(ISNUMBER(表1[[#This Row],[Last Seen]]),"日期正确","需要清洗")</f>
        <v>日期正确</v>
      </c>
      <c r="U126">
        <v>49</v>
      </c>
      <c r="V126" s="1" t="str">
        <f>IF(OR(表1[[#This Row],[Keyword Difficulty]]&lt;0,表1[[#This Row],[Keyword Difficulty]]&gt;100),"异常","正常")</f>
        <v>正常</v>
      </c>
    </row>
    <row r="127" spans="1:22" x14ac:dyDescent="0.2">
      <c r="A127" t="s">
        <v>287</v>
      </c>
      <c r="B127" t="s">
        <v>288</v>
      </c>
      <c r="C127" s="1" t="str">
        <f>LOWER(CLEAN(TRIM(表1[[#This Row],[Keyword]])))</f>
        <v>simplilearn artificial intelligence engineer</v>
      </c>
      <c r="D127" s="1" t="str">
        <f>IF(COUNTIF(表1[Keyword_Clean],表1[[#This Row],[Keyword_Clean]])&gt;1,"唯一","重复")</f>
        <v>唯一</v>
      </c>
      <c r="E127">
        <v>1</v>
      </c>
      <c r="F127" t="str">
        <f>IF(OR(表1[[#This Row],[Position]]="",表1[[#This Row],[Position]]&lt;=0),"异常/空","正常")</f>
        <v>正常</v>
      </c>
      <c r="G127">
        <v>1</v>
      </c>
      <c r="H127">
        <v>30</v>
      </c>
      <c r="I127">
        <v>4.1900000000000004</v>
      </c>
      <c r="J127">
        <v>1</v>
      </c>
      <c r="K127">
        <v>0</v>
      </c>
      <c r="L127" t="str">
        <f>IF(OR(表1[[#This Row],[Traffic (%)]]&gt;=0,表1[[#This Row],[Traffic (%)]]&lt;=100),"正常","异常")</f>
        <v>正常</v>
      </c>
      <c r="M127">
        <v>4</v>
      </c>
      <c r="N127">
        <v>0</v>
      </c>
      <c r="O127">
        <v>0.43</v>
      </c>
      <c r="P127" t="str">
        <f>IF(OR(表1[[#This Row],[Competition]]&lt;0,表1[[#This Row],[Competition]]&gt;1),"异常","正常")</f>
        <v>正常</v>
      </c>
      <c r="Q127">
        <v>108000</v>
      </c>
      <c r="R127" t="s">
        <v>289</v>
      </c>
      <c r="S127" s="1">
        <v>45680</v>
      </c>
      <c r="T127" s="1" t="str">
        <f>IF(ISNUMBER(表1[[#This Row],[Last Seen]]),"日期正确","需要清洗")</f>
        <v>日期正确</v>
      </c>
      <c r="U127">
        <v>33</v>
      </c>
      <c r="V127" s="1" t="str">
        <f>IF(OR(表1[[#This Row],[Keyword Difficulty]]&lt;0,表1[[#This Row],[Keyword Difficulty]]&gt;100),"异常","正常")</f>
        <v>正常</v>
      </c>
    </row>
    <row r="128" spans="1:22" x14ac:dyDescent="0.2">
      <c r="A128" t="s">
        <v>186</v>
      </c>
      <c r="B128" t="s">
        <v>290</v>
      </c>
      <c r="C128" s="1" t="str">
        <f>LOWER(CLEAN(TRIM(表1[[#This Row],[Keyword]])))</f>
        <v>itil foundation training</v>
      </c>
      <c r="D128" s="1" t="str">
        <f>IF(COUNTIF(表1[Keyword_Clean],表1[[#This Row],[Keyword_Clean]])&gt;1,"唯一","重复")</f>
        <v>重复</v>
      </c>
      <c r="E128">
        <v>4</v>
      </c>
      <c r="F128" t="str">
        <f>IF(OR(表1[[#This Row],[Position]]="",表1[[#This Row],[Position]]&lt;=0),"异常/空","正常")</f>
        <v>正常</v>
      </c>
      <c r="G128">
        <v>4</v>
      </c>
      <c r="H128">
        <v>170</v>
      </c>
      <c r="I128">
        <v>6.12</v>
      </c>
      <c r="J128">
        <v>1</v>
      </c>
      <c r="K128">
        <v>0</v>
      </c>
      <c r="L128" t="str">
        <f>IF(OR(表1[[#This Row],[Traffic (%)]]&gt;=0,表1[[#This Row],[Traffic (%)]]&lt;=100),"正常","异常")</f>
        <v>正常</v>
      </c>
      <c r="M128">
        <v>6</v>
      </c>
      <c r="N128">
        <v>0</v>
      </c>
      <c r="O128">
        <v>0.42</v>
      </c>
      <c r="P128" t="str">
        <f>IF(OR(表1[[#This Row],[Competition]]&lt;0,表1[[#This Row],[Competition]]&gt;1),"异常","正常")</f>
        <v>正常</v>
      </c>
      <c r="Q128">
        <v>8940000</v>
      </c>
      <c r="R128" t="s">
        <v>291</v>
      </c>
      <c r="S128" s="1">
        <v>45671</v>
      </c>
      <c r="T128" s="1" t="str">
        <f>IF(ISNUMBER(表1[[#This Row],[Last Seen]]),"日期正确","需要清洗")</f>
        <v>日期正确</v>
      </c>
      <c r="U128">
        <v>36</v>
      </c>
      <c r="V128" s="1" t="str">
        <f>IF(OR(表1[[#This Row],[Keyword Difficulty]]&lt;0,表1[[#This Row],[Keyword Difficulty]]&gt;100),"异常","正常")</f>
        <v>正常</v>
      </c>
    </row>
    <row r="129" spans="1:22" x14ac:dyDescent="0.2">
      <c r="A129" t="s">
        <v>24</v>
      </c>
      <c r="B129" t="s">
        <v>292</v>
      </c>
      <c r="C129" s="1" t="str">
        <f>LOWER(CLEAN(TRIM(表1[[#This Row],[Keyword]])))</f>
        <v>certificado de gestion de proyectos</v>
      </c>
      <c r="D129" s="1" t="str">
        <f>IF(COUNTIF(表1[Keyword_Clean],表1[[#This Row],[Keyword_Clean]])&gt;1,"唯一","重复")</f>
        <v>重复</v>
      </c>
      <c r="E129">
        <v>1</v>
      </c>
      <c r="F129" t="str">
        <f>IF(OR(表1[[#This Row],[Position]]="",表1[[#This Row],[Position]]&lt;=0),"异常/空","正常")</f>
        <v>正常</v>
      </c>
      <c r="G129">
        <v>1</v>
      </c>
      <c r="H129">
        <v>40</v>
      </c>
      <c r="I129">
        <v>7.08</v>
      </c>
      <c r="J129">
        <v>1</v>
      </c>
      <c r="K129">
        <v>0</v>
      </c>
      <c r="L129" t="str">
        <f>IF(OR(表1[[#This Row],[Traffic (%)]]&gt;=0,表1[[#This Row],[Traffic (%)]]&lt;=100),"正常","异常")</f>
        <v>正常</v>
      </c>
      <c r="M129">
        <v>7</v>
      </c>
      <c r="N129">
        <v>0.01</v>
      </c>
      <c r="O129">
        <v>0.53</v>
      </c>
      <c r="P129" t="str">
        <f>IF(OR(表1[[#This Row],[Competition]]&lt;0,表1[[#This Row],[Competition]]&gt;1),"异常","正常")</f>
        <v>正常</v>
      </c>
      <c r="Q129">
        <v>80600000</v>
      </c>
      <c r="R129" t="s">
        <v>293</v>
      </c>
      <c r="S129" s="1">
        <v>45670</v>
      </c>
      <c r="T129" s="1" t="str">
        <f>IF(ISNUMBER(表1[[#This Row],[Last Seen]]),"日期正确","需要清洗")</f>
        <v>日期正确</v>
      </c>
      <c r="U129">
        <v>18</v>
      </c>
      <c r="V129" s="1" t="str">
        <f>IF(OR(表1[[#This Row],[Keyword Difficulty]]&lt;0,表1[[#This Row],[Keyword Difficulty]]&gt;100),"异常","正常")</f>
        <v>正常</v>
      </c>
    </row>
    <row r="130" spans="1:22" x14ac:dyDescent="0.2">
      <c r="A130" t="s">
        <v>294</v>
      </c>
      <c r="B130" t="s">
        <v>295</v>
      </c>
      <c r="C130" s="1" t="str">
        <f>LOWER(CLEAN(TRIM(表1[[#This Row],[Keyword]])))</f>
        <v>togaf certification training</v>
      </c>
      <c r="D130" s="1" t="str">
        <f>IF(COUNTIF(表1[Keyword_Clean],表1[[#This Row],[Keyword_Clean]])&gt;1,"唯一","重复")</f>
        <v>重复</v>
      </c>
      <c r="E130">
        <v>2</v>
      </c>
      <c r="F130" t="str">
        <f>IF(OR(表1[[#This Row],[Position]]="",表1[[#This Row],[Position]]&lt;=0),"异常/空","正常")</f>
        <v>正常</v>
      </c>
      <c r="G130">
        <v>2</v>
      </c>
      <c r="H130">
        <v>90</v>
      </c>
      <c r="I130">
        <v>4.43</v>
      </c>
      <c r="J130">
        <v>1</v>
      </c>
      <c r="K130">
        <v>0</v>
      </c>
      <c r="L130" t="str">
        <f>IF(OR(表1[[#This Row],[Traffic (%)]]&gt;=0,表1[[#This Row],[Traffic (%)]]&lt;=100),"正常","异常")</f>
        <v>正常</v>
      </c>
      <c r="M130">
        <v>4</v>
      </c>
      <c r="N130">
        <v>0</v>
      </c>
      <c r="O130">
        <v>0.47</v>
      </c>
      <c r="P130" t="str">
        <f>IF(OR(表1[[#This Row],[Competition]]&lt;0,表1[[#This Row],[Competition]]&gt;1),"异常","正常")</f>
        <v>正常</v>
      </c>
      <c r="Q130">
        <v>1050000</v>
      </c>
      <c r="R130" t="s">
        <v>296</v>
      </c>
      <c r="S130" s="1">
        <v>45678</v>
      </c>
      <c r="T130" s="1" t="str">
        <f>IF(ISNUMBER(表1[[#This Row],[Last Seen]]),"日期正确","需要清洗")</f>
        <v>日期正确</v>
      </c>
      <c r="U130">
        <v>33</v>
      </c>
      <c r="V130" s="1" t="str">
        <f>IF(OR(表1[[#This Row],[Keyword Difficulty]]&lt;0,表1[[#This Row],[Keyword Difficulty]]&gt;100),"异常","正常")</f>
        <v>正常</v>
      </c>
    </row>
    <row r="131" spans="1:22" x14ac:dyDescent="0.2">
      <c r="A131" t="s">
        <v>297</v>
      </c>
      <c r="B131" t="s">
        <v>165</v>
      </c>
      <c r="C131" s="1" t="str">
        <f>LOWER(CLEAN(TRIM(表1[[#This Row],[Keyword]])))</f>
        <v>simplileaern</v>
      </c>
      <c r="D131" s="1" t="str">
        <f>IF(COUNTIF(表1[Keyword_Clean],表1[[#This Row],[Keyword_Clean]])&gt;1,"唯一","重复")</f>
        <v>唯一</v>
      </c>
      <c r="E131">
        <v>2</v>
      </c>
      <c r="F131" t="str">
        <f>IF(OR(表1[[#This Row],[Position]]="",表1[[#This Row],[Position]]&lt;=0),"异常/空","正常")</f>
        <v>正常</v>
      </c>
      <c r="G131">
        <v>2</v>
      </c>
      <c r="H131">
        <v>140</v>
      </c>
      <c r="I131">
        <v>2.31</v>
      </c>
      <c r="J131">
        <v>1</v>
      </c>
      <c r="K131">
        <v>0</v>
      </c>
      <c r="L131" t="str">
        <f>IF(OR(表1[[#This Row],[Traffic (%)]]&gt;=0,表1[[#This Row],[Traffic (%)]]&lt;=100),"正常","异常")</f>
        <v>正常</v>
      </c>
      <c r="M131">
        <v>2</v>
      </c>
      <c r="N131">
        <v>0</v>
      </c>
      <c r="O131">
        <v>0.14000000000000001</v>
      </c>
      <c r="P131" t="str">
        <f>IF(OR(表1[[#This Row],[Competition]]&lt;0,表1[[#This Row],[Competition]]&gt;1),"异常","正常")</f>
        <v>正常</v>
      </c>
      <c r="Q131">
        <v>4480000</v>
      </c>
      <c r="R131" t="s">
        <v>166</v>
      </c>
      <c r="S131" s="1">
        <v>45675</v>
      </c>
      <c r="T131" s="1" t="str">
        <f>IF(ISNUMBER(表1[[#This Row],[Last Seen]]),"日期正确","需要清洗")</f>
        <v>日期正确</v>
      </c>
      <c r="U131">
        <v>38</v>
      </c>
      <c r="V131" s="1" t="str">
        <f>IF(OR(表1[[#This Row],[Keyword Difficulty]]&lt;0,表1[[#This Row],[Keyword Difficulty]]&gt;100),"异常","正常")</f>
        <v>正常</v>
      </c>
    </row>
    <row r="132" spans="1:22" x14ac:dyDescent="0.2">
      <c r="A132" t="s">
        <v>298</v>
      </c>
      <c r="B132" t="s">
        <v>299</v>
      </c>
      <c r="C132" s="1" t="str">
        <f>LOWER(CLEAN(TRIM(表1[[#This Row],[Keyword]])))</f>
        <v>itil certification training</v>
      </c>
      <c r="D132" s="1" t="str">
        <f>IF(COUNTIF(表1[Keyword_Clean],表1[[#This Row],[Keyword_Clean]])&gt;1,"唯一","重复")</f>
        <v>重复</v>
      </c>
      <c r="E132">
        <v>2</v>
      </c>
      <c r="F132" t="str">
        <f>IF(OR(表1[[#This Row],[Position]]="",表1[[#This Row],[Position]]&lt;=0),"异常/空","正常")</f>
        <v>正常</v>
      </c>
      <c r="G132">
        <v>2</v>
      </c>
      <c r="H132">
        <v>140</v>
      </c>
      <c r="I132">
        <v>5.19</v>
      </c>
      <c r="J132">
        <v>1</v>
      </c>
      <c r="K132">
        <v>0</v>
      </c>
      <c r="L132" t="str">
        <f>IF(OR(表1[[#This Row],[Traffic (%)]]&gt;=0,表1[[#This Row],[Traffic (%)]]&lt;=100),"正常","异常")</f>
        <v>正常</v>
      </c>
      <c r="M132">
        <v>5</v>
      </c>
      <c r="N132">
        <v>0</v>
      </c>
      <c r="O132">
        <v>0.49</v>
      </c>
      <c r="P132" t="str">
        <f>IF(OR(表1[[#This Row],[Competition]]&lt;0,表1[[#This Row],[Competition]]&gt;1),"异常","正常")</f>
        <v>正常</v>
      </c>
      <c r="Q132">
        <v>11800000</v>
      </c>
      <c r="R132" t="s">
        <v>300</v>
      </c>
      <c r="S132" s="1">
        <v>45679</v>
      </c>
      <c r="T132" s="1" t="str">
        <f>IF(ISNUMBER(表1[[#This Row],[Last Seen]]),"日期正确","需要清洗")</f>
        <v>日期正确</v>
      </c>
      <c r="U132">
        <v>54</v>
      </c>
      <c r="V132" s="1" t="str">
        <f>IF(OR(表1[[#This Row],[Keyword Difficulty]]&lt;0,表1[[#This Row],[Keyword Difficulty]]&gt;100),"异常","正常")</f>
        <v>正常</v>
      </c>
    </row>
    <row r="133" spans="1:22" x14ac:dyDescent="0.2">
      <c r="A133" t="s">
        <v>301</v>
      </c>
      <c r="B133" t="s">
        <v>302</v>
      </c>
      <c r="C133" s="1" t="str">
        <f>LOWER(CLEAN(TRIM(表1[[#This Row],[Keyword]])))</f>
        <v>certified scrummaster csm</v>
      </c>
      <c r="D133" s="1" t="str">
        <f>IF(COUNTIF(表1[Keyword_Clean],表1[[#This Row],[Keyword_Clean]])&gt;1,"唯一","重复")</f>
        <v>重复</v>
      </c>
      <c r="E133">
        <v>3</v>
      </c>
      <c r="F133" t="str">
        <f>IF(OR(表1[[#This Row],[Position]]="",表1[[#This Row],[Position]]&lt;=0),"异常/空","正常")</f>
        <v>正常</v>
      </c>
      <c r="G133">
        <v>3</v>
      </c>
      <c r="H133">
        <v>140</v>
      </c>
      <c r="I133">
        <v>3.23</v>
      </c>
      <c r="J133">
        <v>1</v>
      </c>
      <c r="K133">
        <v>0</v>
      </c>
      <c r="L133" t="str">
        <f>IF(OR(表1[[#This Row],[Traffic (%)]]&gt;=0,表1[[#This Row],[Traffic (%)]]&lt;=100),"正常","异常")</f>
        <v>正常</v>
      </c>
      <c r="M133">
        <v>3</v>
      </c>
      <c r="N133">
        <v>0</v>
      </c>
      <c r="O133">
        <v>0.4</v>
      </c>
      <c r="P133" t="str">
        <f>IF(OR(表1[[#This Row],[Competition]]&lt;0,表1[[#This Row],[Competition]]&gt;1),"异常","正常")</f>
        <v>正常</v>
      </c>
      <c r="Q133">
        <v>4120000</v>
      </c>
      <c r="R133" t="s">
        <v>303</v>
      </c>
      <c r="S133" s="1">
        <v>45675</v>
      </c>
      <c r="T133" s="1" t="str">
        <f>IF(ISNUMBER(表1[[#This Row],[Last Seen]]),"日期正确","需要清洗")</f>
        <v>日期正确</v>
      </c>
      <c r="U133">
        <v>60</v>
      </c>
      <c r="V133" s="1" t="str">
        <f>IF(OR(表1[[#This Row],[Keyword Difficulty]]&lt;0,表1[[#This Row],[Keyword Difficulty]]&gt;100),"异常","正常")</f>
        <v>正常</v>
      </c>
    </row>
    <row r="134" spans="1:22" x14ac:dyDescent="0.2">
      <c r="A134" t="s">
        <v>304</v>
      </c>
      <c r="B134" t="s">
        <v>305</v>
      </c>
      <c r="C134" s="1" t="str">
        <f>LOWER(CLEAN(TRIM(表1[[#This Row],[Keyword]])))</f>
        <v>udacity enterprise architecture</v>
      </c>
      <c r="D134" s="1" t="str">
        <f>IF(COUNTIF(表1[Keyword_Clean],表1[[#This Row],[Keyword_Clean]])&gt;1,"唯一","重复")</f>
        <v>重复</v>
      </c>
      <c r="E134">
        <v>4</v>
      </c>
      <c r="F134" t="str">
        <f>IF(OR(表1[[#This Row],[Position]]="",表1[[#This Row],[Position]]&lt;=0),"异常/空","正常")</f>
        <v>正常</v>
      </c>
      <c r="G134">
        <v>4</v>
      </c>
      <c r="H134">
        <v>260</v>
      </c>
      <c r="I134">
        <v>0</v>
      </c>
      <c r="J134">
        <v>1</v>
      </c>
      <c r="K134">
        <v>0</v>
      </c>
      <c r="L134" t="str">
        <f>IF(OR(表1[[#This Row],[Traffic (%)]]&gt;=0,表1[[#This Row],[Traffic (%)]]&lt;=100),"正常","异常")</f>
        <v>正常</v>
      </c>
      <c r="M134">
        <v>0</v>
      </c>
      <c r="N134">
        <v>0</v>
      </c>
      <c r="O134">
        <v>0</v>
      </c>
      <c r="P134" t="str">
        <f>IF(OR(表1[[#This Row],[Competition]]&lt;0,表1[[#This Row],[Competition]]&gt;1),"异常","正常")</f>
        <v>正常</v>
      </c>
      <c r="Q134">
        <v>131000</v>
      </c>
      <c r="R134" t="s">
        <v>267</v>
      </c>
      <c r="S134" s="1">
        <v>45663</v>
      </c>
      <c r="T134" s="1" t="str">
        <f>IF(ISNUMBER(表1[[#This Row],[Last Seen]]),"日期正确","需要清洗")</f>
        <v>日期正确</v>
      </c>
      <c r="U134">
        <v>20</v>
      </c>
      <c r="V134" s="1" t="str">
        <f>IF(OR(表1[[#This Row],[Keyword Difficulty]]&lt;0,表1[[#This Row],[Keyword Difficulty]]&gt;100),"异常","正常")</f>
        <v>正常</v>
      </c>
    </row>
    <row r="135" spans="1:22" x14ac:dyDescent="0.2">
      <c r="A135" t="s">
        <v>306</v>
      </c>
      <c r="B135" t="s">
        <v>307</v>
      </c>
      <c r="C135" s="1" t="str">
        <f>LOWER(CLEAN(TRIM(表1[[#This Row],[Keyword]])))</f>
        <v>simplilearn itil</v>
      </c>
      <c r="D135" s="1" t="str">
        <f>IF(COUNTIF(表1[Keyword_Clean],表1[[#This Row],[Keyword_Clean]])&gt;1,"唯一","重复")</f>
        <v>重复</v>
      </c>
      <c r="E135">
        <v>1</v>
      </c>
      <c r="F135" t="str">
        <f>IF(OR(表1[[#This Row],[Position]]="",表1[[#This Row],[Position]]&lt;=0),"异常/空","正常")</f>
        <v>正常</v>
      </c>
      <c r="G135">
        <v>1</v>
      </c>
      <c r="H135">
        <v>40</v>
      </c>
      <c r="I135">
        <v>8.9</v>
      </c>
      <c r="J135">
        <v>1</v>
      </c>
      <c r="K135">
        <v>0</v>
      </c>
      <c r="L135" t="str">
        <f>IF(OR(表1[[#This Row],[Traffic (%)]]&gt;=0,表1[[#This Row],[Traffic (%)]]&lt;=100),"正常","异常")</f>
        <v>正常</v>
      </c>
      <c r="M135">
        <v>8</v>
      </c>
      <c r="N135">
        <v>0.01</v>
      </c>
      <c r="O135">
        <v>0.48</v>
      </c>
      <c r="P135" t="str">
        <f>IF(OR(表1[[#This Row],[Competition]]&lt;0,表1[[#This Row],[Competition]]&gt;1),"异常","正常")</f>
        <v>正常</v>
      </c>
      <c r="Q135">
        <v>92100</v>
      </c>
      <c r="R135" t="s">
        <v>308</v>
      </c>
      <c r="S135" s="1">
        <v>45662</v>
      </c>
      <c r="T135" s="1" t="str">
        <f>IF(ISNUMBER(表1[[#This Row],[Last Seen]]),"日期正确","需要清洗")</f>
        <v>日期正确</v>
      </c>
      <c r="U135">
        <v>41</v>
      </c>
      <c r="V135" s="1" t="str">
        <f>IF(OR(表1[[#This Row],[Keyword Difficulty]]&lt;0,表1[[#This Row],[Keyword Difficulty]]&gt;100),"异常","正常")</f>
        <v>正常</v>
      </c>
    </row>
    <row r="136" spans="1:22" x14ac:dyDescent="0.2">
      <c r="A136" t="s">
        <v>171</v>
      </c>
      <c r="B136" t="s">
        <v>309</v>
      </c>
      <c r="C136" s="1" t="str">
        <f>LOWER(CLEAN(TRIM(表1[[#This Row],[Keyword]])))</f>
        <v>simplilearn.com</v>
      </c>
      <c r="D136" s="1" t="str">
        <f>IF(COUNTIF(表1[Keyword_Clean],表1[[#This Row],[Keyword_Clean]])&gt;1,"唯一","重复")</f>
        <v>重复</v>
      </c>
      <c r="E136">
        <v>1</v>
      </c>
      <c r="F136" t="str">
        <f>IF(OR(表1[[#This Row],[Position]]="",表1[[#This Row],[Position]]&lt;=0),"异常/空","正常")</f>
        <v>正常</v>
      </c>
      <c r="G136">
        <v>1</v>
      </c>
      <c r="H136">
        <v>40</v>
      </c>
      <c r="I136">
        <v>2.44</v>
      </c>
      <c r="J136">
        <v>1</v>
      </c>
      <c r="K136">
        <v>0</v>
      </c>
      <c r="L136" t="str">
        <f>IF(OR(表1[[#This Row],[Traffic (%)]]&gt;=0,表1[[#This Row],[Traffic (%)]]&lt;=100),"正常","异常")</f>
        <v>正常</v>
      </c>
      <c r="M136">
        <v>2</v>
      </c>
      <c r="N136">
        <v>0</v>
      </c>
      <c r="O136">
        <v>0.18</v>
      </c>
      <c r="P136" t="str">
        <f>IF(OR(表1[[#This Row],[Competition]]&lt;0,表1[[#This Row],[Competition]]&gt;1),"异常","正常")</f>
        <v>正常</v>
      </c>
      <c r="Q136">
        <v>4690000</v>
      </c>
      <c r="R136" t="s">
        <v>310</v>
      </c>
      <c r="S136" s="1">
        <v>45672</v>
      </c>
      <c r="T136" s="1" t="str">
        <f>IF(ISNUMBER(表1[[#This Row],[Last Seen]]),"日期正确","需要清洗")</f>
        <v>日期正确</v>
      </c>
      <c r="U136">
        <v>77</v>
      </c>
      <c r="V136" s="1" t="str">
        <f>IF(OR(表1[[#This Row],[Keyword Difficulty]]&lt;0,表1[[#This Row],[Keyword Difficulty]]&gt;100),"异常","正常")</f>
        <v>正常</v>
      </c>
    </row>
    <row r="137" spans="1:22" x14ac:dyDescent="0.2">
      <c r="A137" t="s">
        <v>311</v>
      </c>
      <c r="B137" t="s">
        <v>312</v>
      </c>
      <c r="C137" s="1" t="str">
        <f>LOWER(CLEAN(TRIM(表1[[#This Row],[Keyword]])))</f>
        <v>simplilearn cloud architect</v>
      </c>
      <c r="D137" s="1" t="str">
        <f>IF(COUNTIF(表1[Keyword_Clean],表1[[#This Row],[Keyword_Clean]])&gt;1,"唯一","重复")</f>
        <v>重复</v>
      </c>
      <c r="E137">
        <v>1</v>
      </c>
      <c r="F137" t="str">
        <f>IF(OR(表1[[#This Row],[Position]]="",表1[[#This Row],[Position]]&lt;=0),"异常/空","正常")</f>
        <v>正常</v>
      </c>
      <c r="G137">
        <v>1</v>
      </c>
      <c r="H137">
        <v>40</v>
      </c>
      <c r="I137">
        <v>0</v>
      </c>
      <c r="J137">
        <v>1</v>
      </c>
      <c r="K137">
        <v>0</v>
      </c>
      <c r="L137" t="str">
        <f>IF(OR(表1[[#This Row],[Traffic (%)]]&gt;=0,表1[[#This Row],[Traffic (%)]]&lt;=100),"正常","异常")</f>
        <v>正常</v>
      </c>
      <c r="M137">
        <v>0</v>
      </c>
      <c r="N137">
        <v>0</v>
      </c>
      <c r="O137">
        <v>0.05</v>
      </c>
      <c r="P137" t="str">
        <f>IF(OR(表1[[#This Row],[Competition]]&lt;0,表1[[#This Row],[Competition]]&gt;1),"异常","正常")</f>
        <v>正常</v>
      </c>
      <c r="Q137">
        <v>372000</v>
      </c>
      <c r="R137" t="s">
        <v>313</v>
      </c>
      <c r="S137" s="1">
        <v>45670</v>
      </c>
      <c r="T137" s="1" t="str">
        <f>IF(ISNUMBER(表1[[#This Row],[Last Seen]]),"日期正确","需要清洗")</f>
        <v>日期正确</v>
      </c>
      <c r="U137">
        <v>34</v>
      </c>
      <c r="V137" s="1" t="str">
        <f>IF(OR(表1[[#This Row],[Keyword Difficulty]]&lt;0,表1[[#This Row],[Keyword Difficulty]]&gt;100),"异常","正常")</f>
        <v>正常</v>
      </c>
    </row>
    <row r="138" spans="1:22" x14ac:dyDescent="0.2">
      <c r="A138" t="s">
        <v>276</v>
      </c>
      <c r="B138" t="s">
        <v>314</v>
      </c>
      <c r="C138" s="1" t="str">
        <f>LOWER(CLEAN(TRIM(表1[[#This Row],[Keyword]])))</f>
        <v>itl certification</v>
      </c>
      <c r="D138" s="1" t="str">
        <f>IF(COUNTIF(表1[Keyword_Clean],表1[[#This Row],[Keyword_Clean]])&gt;1,"唯一","重复")</f>
        <v>重复</v>
      </c>
      <c r="E138">
        <v>1</v>
      </c>
      <c r="F138" t="str">
        <f>IF(OR(表1[[#This Row],[Position]]="",表1[[#This Row],[Position]]&lt;=0),"异常/空","正常")</f>
        <v>正常</v>
      </c>
      <c r="G138">
        <v>1</v>
      </c>
      <c r="H138">
        <v>30</v>
      </c>
      <c r="I138">
        <v>2.33</v>
      </c>
      <c r="J138">
        <v>1</v>
      </c>
      <c r="K138">
        <v>0</v>
      </c>
      <c r="L138" t="str">
        <f>IF(OR(表1[[#This Row],[Traffic (%)]]&gt;=0,表1[[#This Row],[Traffic (%)]]&lt;=100),"正常","异常")</f>
        <v>正常</v>
      </c>
      <c r="M138">
        <v>2</v>
      </c>
      <c r="N138">
        <v>0</v>
      </c>
      <c r="O138">
        <v>0.49</v>
      </c>
      <c r="P138" t="str">
        <f>IF(OR(表1[[#This Row],[Competition]]&lt;0,表1[[#This Row],[Competition]]&gt;1),"异常","正常")</f>
        <v>正常</v>
      </c>
      <c r="Q138">
        <v>15500000</v>
      </c>
      <c r="R138" t="s">
        <v>315</v>
      </c>
      <c r="S138" s="1">
        <v>45667</v>
      </c>
      <c r="T138" s="1" t="str">
        <f>IF(ISNUMBER(表1[[#This Row],[Last Seen]]),"日期正确","需要清洗")</f>
        <v>日期正确</v>
      </c>
      <c r="U138">
        <v>47</v>
      </c>
      <c r="V138" s="1" t="str">
        <f>IF(OR(表1[[#This Row],[Keyword Difficulty]]&lt;0,表1[[#This Row],[Keyword Difficulty]]&gt;100),"异常","正常")</f>
        <v>正常</v>
      </c>
    </row>
    <row r="139" spans="1:22" x14ac:dyDescent="0.2">
      <c r="A139" t="s">
        <v>316</v>
      </c>
      <c r="B139" t="s">
        <v>317</v>
      </c>
      <c r="C139" s="1" t="str">
        <f>LOWER(CLEAN(TRIM(表1[[#This Row],[Keyword]])))</f>
        <v>simplearn</v>
      </c>
      <c r="D139" s="1" t="str">
        <f>IF(COUNTIF(表1[Keyword_Clean],表1[[#This Row],[Keyword_Clean]])&gt;1,"唯一","重复")</f>
        <v>重复</v>
      </c>
      <c r="E139">
        <v>1</v>
      </c>
      <c r="F139" t="str">
        <f>IF(OR(表1[[#This Row],[Position]]="",表1[[#This Row],[Position]]&lt;=0),"异常/空","正常")</f>
        <v>正常</v>
      </c>
      <c r="G139">
        <v>1</v>
      </c>
      <c r="H139">
        <v>30</v>
      </c>
      <c r="I139">
        <v>2.31</v>
      </c>
      <c r="J139">
        <v>1</v>
      </c>
      <c r="K139">
        <v>0</v>
      </c>
      <c r="L139" t="str">
        <f>IF(OR(表1[[#This Row],[Traffic (%)]]&gt;=0,表1[[#This Row],[Traffic (%)]]&lt;=100),"正常","异常")</f>
        <v>正常</v>
      </c>
      <c r="M139">
        <v>2</v>
      </c>
      <c r="N139">
        <v>0</v>
      </c>
      <c r="O139">
        <v>0.14000000000000001</v>
      </c>
      <c r="P139" t="str">
        <f>IF(OR(表1[[#This Row],[Competition]]&lt;0,表1[[#This Row],[Competition]]&gt;1),"异常","正常")</f>
        <v>正常</v>
      </c>
      <c r="Q139">
        <v>4270000</v>
      </c>
      <c r="R139" t="s">
        <v>318</v>
      </c>
      <c r="S139" s="1">
        <v>45678</v>
      </c>
      <c r="T139" s="1" t="str">
        <f>IF(ISNUMBER(表1[[#This Row],[Last Seen]]),"日期正确","需要清洗")</f>
        <v>日期正确</v>
      </c>
      <c r="U139">
        <v>44</v>
      </c>
      <c r="V139" s="1" t="str">
        <f>IF(OR(表1[[#This Row],[Keyword Difficulty]]&lt;0,表1[[#This Row],[Keyword Difficulty]]&gt;100),"异常","正常")</f>
        <v>正常</v>
      </c>
    </row>
    <row r="140" spans="1:22" x14ac:dyDescent="0.2">
      <c r="A140" t="s">
        <v>224</v>
      </c>
      <c r="B140" t="s">
        <v>319</v>
      </c>
      <c r="C140" s="1" t="str">
        <f>LOWER(CLEAN(TRIM(表1[[#This Row],[Keyword]])))</f>
        <v>itil 4 foundation mock exam</v>
      </c>
      <c r="D140" s="1" t="str">
        <f>IF(COUNTIF(表1[Keyword_Clean],表1[[#This Row],[Keyword_Clean]])&gt;1,"唯一","重复")</f>
        <v>重复</v>
      </c>
      <c r="E140">
        <v>1</v>
      </c>
      <c r="F140" t="str">
        <f>IF(OR(表1[[#This Row],[Position]]="",表1[[#This Row],[Position]]&lt;=0),"异常/空","正常")</f>
        <v>正常</v>
      </c>
      <c r="G140">
        <v>1</v>
      </c>
      <c r="H140">
        <v>30</v>
      </c>
      <c r="I140">
        <v>2.78</v>
      </c>
      <c r="J140">
        <v>1</v>
      </c>
      <c r="K140">
        <v>0</v>
      </c>
      <c r="L140" t="str">
        <f>IF(OR(表1[[#This Row],[Traffic (%)]]&gt;=0,表1[[#This Row],[Traffic (%)]]&lt;=100),"正常","异常")</f>
        <v>正常</v>
      </c>
      <c r="M140">
        <v>2</v>
      </c>
      <c r="N140">
        <v>0</v>
      </c>
      <c r="O140">
        <v>0.4</v>
      </c>
      <c r="P140" t="str">
        <f>IF(OR(表1[[#This Row],[Competition]]&lt;0,表1[[#This Row],[Competition]]&gt;1),"异常","正常")</f>
        <v>正常</v>
      </c>
      <c r="Q140">
        <v>402000</v>
      </c>
      <c r="R140" t="s">
        <v>320</v>
      </c>
      <c r="S140" s="1">
        <v>45666</v>
      </c>
      <c r="T140" s="1" t="str">
        <f>IF(ISNUMBER(表1[[#This Row],[Last Seen]]),"日期正确","需要清洗")</f>
        <v>日期正确</v>
      </c>
      <c r="U140">
        <v>15</v>
      </c>
      <c r="V140" s="1" t="str">
        <f>IF(OR(表1[[#This Row],[Keyword Difficulty]]&lt;0,表1[[#This Row],[Keyword Difficulty]]&gt;100),"异常","正常")</f>
        <v>正常</v>
      </c>
    </row>
    <row r="141" spans="1:22" x14ac:dyDescent="0.2">
      <c r="A141" t="s">
        <v>32</v>
      </c>
      <c r="B141" t="s">
        <v>321</v>
      </c>
      <c r="C141" s="1" t="str">
        <f>LOWER(CLEAN(TRIM(表1[[#This Row],[Keyword]])))</f>
        <v>pmp courses online free</v>
      </c>
      <c r="D141" s="1" t="str">
        <f>IF(COUNTIF(表1[Keyword_Clean],表1[[#This Row],[Keyword_Clean]])&gt;1,"唯一","重复")</f>
        <v>重复</v>
      </c>
      <c r="E141">
        <v>1</v>
      </c>
      <c r="F141" t="str">
        <f>IF(OR(表1[[#This Row],[Position]]="",表1[[#This Row],[Position]]&lt;=0),"异常/空","正常")</f>
        <v>正常</v>
      </c>
      <c r="G141">
        <v>1</v>
      </c>
      <c r="H141">
        <v>40</v>
      </c>
      <c r="I141">
        <v>4.6100000000000003</v>
      </c>
      <c r="J141">
        <v>1</v>
      </c>
      <c r="K141">
        <v>0</v>
      </c>
      <c r="L141" t="str">
        <f>IF(OR(表1[[#This Row],[Traffic (%)]]&gt;=0,表1[[#This Row],[Traffic (%)]]&lt;=100),"正常","异常")</f>
        <v>正常</v>
      </c>
      <c r="M141">
        <v>4</v>
      </c>
      <c r="N141">
        <v>0</v>
      </c>
      <c r="O141">
        <v>0.46</v>
      </c>
      <c r="P141" t="str">
        <f>IF(OR(表1[[#This Row],[Competition]]&lt;0,表1[[#This Row],[Competition]]&gt;1),"异常","正常")</f>
        <v>正常</v>
      </c>
      <c r="Q141">
        <v>53900000</v>
      </c>
      <c r="R141" t="s">
        <v>322</v>
      </c>
      <c r="S141" s="1">
        <v>45675</v>
      </c>
      <c r="T141" s="1" t="str">
        <f>IF(ISNUMBER(表1[[#This Row],[Last Seen]]),"日期正确","需要清洗")</f>
        <v>日期正确</v>
      </c>
      <c r="U141">
        <v>28</v>
      </c>
      <c r="V141" s="1" t="str">
        <f>IF(OR(表1[[#This Row],[Keyword Difficulty]]&lt;0,表1[[#This Row],[Keyword Difficulty]]&gt;100),"异常","正常")</f>
        <v>正常</v>
      </c>
    </row>
    <row r="142" spans="1:22" x14ac:dyDescent="0.2">
      <c r="A142" t="s">
        <v>186</v>
      </c>
      <c r="B142" t="s">
        <v>187</v>
      </c>
      <c r="C142" s="1" t="str">
        <f>LOWER(CLEAN(TRIM(表1[[#This Row],[Keyword]])))</f>
        <v>itil 4 foundation certification</v>
      </c>
      <c r="D142" s="1" t="str">
        <f>IF(COUNTIF(表1[Keyword_Clean],表1[[#This Row],[Keyword_Clean]])&gt;1,"唯一","重复")</f>
        <v>唯一</v>
      </c>
      <c r="E142">
        <v>6</v>
      </c>
      <c r="F142" t="str">
        <f>IF(OR(表1[[#This Row],[Position]]="",表1[[#This Row],[Position]]&lt;=0),"异常/空","正常")</f>
        <v>正常</v>
      </c>
      <c r="G142">
        <v>6</v>
      </c>
      <c r="H142">
        <v>390</v>
      </c>
      <c r="I142">
        <v>3.33</v>
      </c>
      <c r="J142">
        <v>1</v>
      </c>
      <c r="K142">
        <v>0</v>
      </c>
      <c r="L142" t="str">
        <f>IF(OR(表1[[#This Row],[Traffic (%)]]&gt;=0,表1[[#This Row],[Traffic (%)]]&lt;=100),"正常","异常")</f>
        <v>正常</v>
      </c>
      <c r="M142">
        <v>3</v>
      </c>
      <c r="N142">
        <v>0</v>
      </c>
      <c r="O142">
        <v>0.52</v>
      </c>
      <c r="P142" t="str">
        <f>IF(OR(表1[[#This Row],[Competition]]&lt;0,表1[[#This Row],[Competition]]&gt;1),"异常","正常")</f>
        <v>正常</v>
      </c>
      <c r="Q142">
        <v>9890000</v>
      </c>
      <c r="R142" t="s">
        <v>188</v>
      </c>
      <c r="S142" s="1">
        <v>45666</v>
      </c>
      <c r="T142" s="1" t="str">
        <f>IF(ISNUMBER(表1[[#This Row],[Last Seen]]),"日期正确","需要清洗")</f>
        <v>日期正确</v>
      </c>
      <c r="U142">
        <v>44</v>
      </c>
      <c r="V142" s="1" t="str">
        <f>IF(OR(表1[[#This Row],[Keyword Difficulty]]&lt;0,表1[[#This Row],[Keyword Difficulty]]&gt;100),"异常","正常")</f>
        <v>正常</v>
      </c>
    </row>
    <row r="143" spans="1:22" x14ac:dyDescent="0.2">
      <c r="A143" t="s">
        <v>323</v>
      </c>
      <c r="B143" t="s">
        <v>324</v>
      </c>
      <c r="C143" s="1" t="str">
        <f>LOWER(CLEAN(TRIM(表1[[#This Row],[Keyword]])))</f>
        <v>pmi project management course</v>
      </c>
      <c r="D143" s="1" t="str">
        <f>IF(COUNTIF(表1[Keyword_Clean],表1[[#This Row],[Keyword_Clean]])&gt;1,"唯一","重复")</f>
        <v>重复</v>
      </c>
      <c r="E143">
        <v>3</v>
      </c>
      <c r="F143" t="str">
        <f>IF(OR(表1[[#This Row],[Position]]="",表1[[#This Row],[Position]]&lt;=0),"异常/空","正常")</f>
        <v>正常</v>
      </c>
      <c r="G143">
        <v>3</v>
      </c>
      <c r="H143">
        <v>210</v>
      </c>
      <c r="I143">
        <v>4.57</v>
      </c>
      <c r="J143">
        <v>1</v>
      </c>
      <c r="K143">
        <v>0</v>
      </c>
      <c r="L143" t="str">
        <f>IF(OR(表1[[#This Row],[Traffic (%)]]&gt;=0,表1[[#This Row],[Traffic (%)]]&lt;=100),"正常","异常")</f>
        <v>正常</v>
      </c>
      <c r="M143">
        <v>4</v>
      </c>
      <c r="N143">
        <v>0</v>
      </c>
      <c r="O143">
        <v>0.48</v>
      </c>
      <c r="P143" t="str">
        <f>IF(OR(表1[[#This Row],[Competition]]&lt;0,表1[[#This Row],[Competition]]&gt;1),"异常","正常")</f>
        <v>正常</v>
      </c>
      <c r="Q143">
        <v>25400000</v>
      </c>
      <c r="R143" t="s">
        <v>325</v>
      </c>
      <c r="S143" s="1">
        <v>45654</v>
      </c>
      <c r="T143" s="1" t="str">
        <f>IF(ISNUMBER(表1[[#This Row],[Last Seen]]),"日期正确","需要清洗")</f>
        <v>日期正确</v>
      </c>
      <c r="U143">
        <v>62</v>
      </c>
      <c r="V143" s="1" t="str">
        <f>IF(OR(表1[[#This Row],[Keyword Difficulty]]&lt;0,表1[[#This Row],[Keyword Difficulty]]&gt;100),"异常","正常")</f>
        <v>正常</v>
      </c>
    </row>
    <row r="144" spans="1:22" x14ac:dyDescent="0.2">
      <c r="A144" t="s">
        <v>36</v>
      </c>
      <c r="B144" t="s">
        <v>326</v>
      </c>
      <c r="C144" s="1" t="str">
        <f>LOWER(CLEAN(TRIM(表1[[#This Row],[Keyword]])))</f>
        <v>simplilearn data science</v>
      </c>
      <c r="D144" s="1" t="str">
        <f>IF(COUNTIF(表1[Keyword_Clean],表1[[#This Row],[Keyword_Clean]])&gt;1,"唯一","重复")</f>
        <v>重复</v>
      </c>
      <c r="E144">
        <v>2</v>
      </c>
      <c r="F144" t="str">
        <f>IF(OR(表1[[#This Row],[Position]]="",表1[[#This Row],[Position]]&lt;=0),"异常/空","正常")</f>
        <v>正常</v>
      </c>
      <c r="G144">
        <v>2</v>
      </c>
      <c r="H144">
        <v>90</v>
      </c>
      <c r="I144">
        <v>7.24</v>
      </c>
      <c r="J144">
        <v>1</v>
      </c>
      <c r="K144">
        <v>0</v>
      </c>
      <c r="L144" t="str">
        <f>IF(OR(表1[[#This Row],[Traffic (%)]]&gt;=0,表1[[#This Row],[Traffic (%)]]&lt;=100),"正常","异常")</f>
        <v>正常</v>
      </c>
      <c r="M144">
        <v>7</v>
      </c>
      <c r="N144">
        <v>0.01</v>
      </c>
      <c r="O144">
        <v>0.43</v>
      </c>
      <c r="P144" t="str">
        <f>IF(OR(表1[[#This Row],[Competition]]&lt;0,表1[[#This Row],[Competition]]&gt;1),"异常","正常")</f>
        <v>正常</v>
      </c>
      <c r="Q144">
        <v>1630000</v>
      </c>
      <c r="R144" t="s">
        <v>327</v>
      </c>
      <c r="S144" s="1">
        <v>45662</v>
      </c>
      <c r="T144" s="1" t="str">
        <f>IF(ISNUMBER(表1[[#This Row],[Last Seen]]),"日期正确","需要清洗")</f>
        <v>日期正确</v>
      </c>
      <c r="U144">
        <v>51</v>
      </c>
      <c r="V144" s="1" t="str">
        <f>IF(OR(表1[[#This Row],[Keyword Difficulty]]&lt;0,表1[[#This Row],[Keyword Difficulty]]&gt;100),"异常","正常")</f>
        <v>正常</v>
      </c>
    </row>
    <row r="145" spans="1:22" x14ac:dyDescent="0.2">
      <c r="A145" t="s">
        <v>328</v>
      </c>
      <c r="B145" t="s">
        <v>329</v>
      </c>
      <c r="C145" s="1" t="str">
        <f>LOWER(CLEAN(TRIM(表1[[#This Row],[Keyword]])))</f>
        <v>certified scrum master csm certification</v>
      </c>
      <c r="D145" s="1" t="str">
        <f>IF(COUNTIF(表1[Keyword_Clean],表1[[#This Row],[Keyword_Clean]])&gt;1,"唯一","重复")</f>
        <v>重复</v>
      </c>
      <c r="E145">
        <v>3</v>
      </c>
      <c r="F145" t="str">
        <f>IF(OR(表1[[#This Row],[Position]]="",表1[[#This Row],[Position]]&lt;=0),"异常/空","正常")</f>
        <v>正常</v>
      </c>
      <c r="G145">
        <v>3</v>
      </c>
      <c r="H145">
        <v>170</v>
      </c>
      <c r="I145">
        <v>3.37</v>
      </c>
      <c r="J145">
        <v>1</v>
      </c>
      <c r="K145">
        <v>0</v>
      </c>
      <c r="L145" t="str">
        <f>IF(OR(表1[[#This Row],[Traffic (%)]]&gt;=0,表1[[#This Row],[Traffic (%)]]&lt;=100),"正常","异常")</f>
        <v>正常</v>
      </c>
      <c r="M145">
        <v>3</v>
      </c>
      <c r="N145">
        <v>0</v>
      </c>
      <c r="O145">
        <v>0.38</v>
      </c>
      <c r="P145" t="str">
        <f>IF(OR(表1[[#This Row],[Competition]]&lt;0,表1[[#This Row],[Competition]]&gt;1),"异常","正常")</f>
        <v>正常</v>
      </c>
      <c r="Q145">
        <v>1910000</v>
      </c>
      <c r="R145" t="s">
        <v>330</v>
      </c>
      <c r="S145" s="1">
        <v>45654</v>
      </c>
      <c r="T145" s="1" t="str">
        <f>IF(ISNUMBER(表1[[#This Row],[Last Seen]]),"日期正确","需要清洗")</f>
        <v>日期正确</v>
      </c>
      <c r="U145">
        <v>51</v>
      </c>
      <c r="V145" s="1" t="str">
        <f>IF(OR(表1[[#This Row],[Keyword Difficulty]]&lt;0,表1[[#This Row],[Keyword Difficulty]]&gt;100),"异常","正常")</f>
        <v>正常</v>
      </c>
    </row>
    <row r="146" spans="1:22" x14ac:dyDescent="0.2">
      <c r="A146" t="s">
        <v>331</v>
      </c>
      <c r="B146" t="s">
        <v>332</v>
      </c>
      <c r="C146" s="1" t="str">
        <f>LOWER(CLEAN(TRIM(表1[[#This Row],[Keyword]])))</f>
        <v>simplilearn cissp</v>
      </c>
      <c r="D146" s="1" t="str">
        <f>IF(COUNTIF(表1[Keyword_Clean],表1[[#This Row],[Keyword_Clean]])&gt;1,"唯一","重复")</f>
        <v>重复</v>
      </c>
      <c r="E146">
        <v>1</v>
      </c>
      <c r="F146" t="str">
        <f>IF(OR(表1[[#This Row],[Position]]="",表1[[#This Row],[Position]]&lt;=0),"异常/空","正常")</f>
        <v>正常</v>
      </c>
      <c r="G146">
        <v>1</v>
      </c>
      <c r="H146">
        <v>30</v>
      </c>
      <c r="I146">
        <v>5.91</v>
      </c>
      <c r="J146">
        <v>1</v>
      </c>
      <c r="K146">
        <v>0</v>
      </c>
      <c r="L146" t="str">
        <f>IF(OR(表1[[#This Row],[Traffic (%)]]&gt;=0,表1[[#This Row],[Traffic (%)]]&lt;=100),"正常","异常")</f>
        <v>正常</v>
      </c>
      <c r="M146">
        <v>5</v>
      </c>
      <c r="N146">
        <v>0</v>
      </c>
      <c r="O146">
        <v>0.63</v>
      </c>
      <c r="P146" t="str">
        <f>IF(OR(表1[[#This Row],[Competition]]&lt;0,表1[[#This Row],[Competition]]&gt;1),"异常","正常")</f>
        <v>正常</v>
      </c>
      <c r="Q146">
        <v>46</v>
      </c>
      <c r="R146" t="s">
        <v>333</v>
      </c>
      <c r="S146" s="1">
        <v>45662</v>
      </c>
      <c r="T146" s="1" t="str">
        <f>IF(ISNUMBER(表1[[#This Row],[Last Seen]]),"日期正确","需要清洗")</f>
        <v>日期正确</v>
      </c>
      <c r="U146">
        <v>37</v>
      </c>
      <c r="V146" s="1" t="str">
        <f>IF(OR(表1[[#This Row],[Keyword Difficulty]]&lt;0,表1[[#This Row],[Keyword Difficulty]]&gt;100),"异常","正常")</f>
        <v>正常</v>
      </c>
    </row>
    <row r="147" spans="1:22" x14ac:dyDescent="0.2">
      <c r="A147" t="s">
        <v>251</v>
      </c>
      <c r="B147" t="s">
        <v>334</v>
      </c>
      <c r="C147" s="1" t="str">
        <f>LOWER(CLEAN(TRIM(表1[[#This Row],[Keyword]])))</f>
        <v>csm class</v>
      </c>
      <c r="D147" s="1" t="str">
        <f>IF(COUNTIF(表1[Keyword_Clean],表1[[#This Row],[Keyword_Clean]])&gt;1,"唯一","重复")</f>
        <v>重复</v>
      </c>
      <c r="E147">
        <v>3</v>
      </c>
      <c r="F147" t="str">
        <f>IF(OR(表1[[#This Row],[Position]]="",表1[[#This Row],[Position]]&lt;=0),"异常/空","正常")</f>
        <v>正常</v>
      </c>
      <c r="G147">
        <v>3</v>
      </c>
      <c r="H147">
        <v>140</v>
      </c>
      <c r="I147">
        <v>3.62</v>
      </c>
      <c r="J147">
        <v>1</v>
      </c>
      <c r="K147">
        <v>0</v>
      </c>
      <c r="L147" t="str">
        <f>IF(OR(表1[[#This Row],[Traffic (%)]]&gt;=0,表1[[#This Row],[Traffic (%)]]&lt;=100),"正常","异常")</f>
        <v>正常</v>
      </c>
      <c r="M147">
        <v>3</v>
      </c>
      <c r="N147">
        <v>0</v>
      </c>
      <c r="O147">
        <v>0.09</v>
      </c>
      <c r="P147" t="str">
        <f>IF(OR(表1[[#This Row],[Competition]]&lt;0,表1[[#This Row],[Competition]]&gt;1),"异常","正常")</f>
        <v>正常</v>
      </c>
      <c r="Q147">
        <v>69900000</v>
      </c>
      <c r="R147" t="s">
        <v>335</v>
      </c>
      <c r="S147" s="1">
        <v>45669</v>
      </c>
      <c r="T147" s="1" t="str">
        <f>IF(ISNUMBER(表1[[#This Row],[Last Seen]]),"日期正确","需要清洗")</f>
        <v>日期正确</v>
      </c>
      <c r="U147">
        <v>42</v>
      </c>
      <c r="V147" s="1" t="str">
        <f>IF(OR(表1[[#This Row],[Keyword Difficulty]]&lt;0,表1[[#This Row],[Keyword Difficulty]]&gt;100),"异常","正常")</f>
        <v>正常</v>
      </c>
    </row>
    <row r="148" spans="1:22" x14ac:dyDescent="0.2">
      <c r="A148" t="s">
        <v>66</v>
      </c>
      <c r="B148" t="s">
        <v>336</v>
      </c>
      <c r="C148" s="1" t="str">
        <f>LOWER(CLEAN(TRIM(表1[[#This Row],[Keyword]])))</f>
        <v>simplilearn full stack developer</v>
      </c>
      <c r="D148" s="1" t="str">
        <f>IF(COUNTIF(表1[Keyword_Clean],表1[[#This Row],[Keyword_Clean]])&gt;1,"唯一","重复")</f>
        <v>重复</v>
      </c>
      <c r="E148">
        <v>2</v>
      </c>
      <c r="F148" t="str">
        <f>IF(OR(表1[[#This Row],[Position]]="",表1[[#This Row],[Position]]&lt;=0),"异常/空","正常")</f>
        <v>正常</v>
      </c>
      <c r="G148">
        <v>2</v>
      </c>
      <c r="H148">
        <v>110</v>
      </c>
      <c r="I148">
        <v>7.51</v>
      </c>
      <c r="J148">
        <v>1</v>
      </c>
      <c r="K148">
        <v>0</v>
      </c>
      <c r="L148" t="str">
        <f>IF(OR(表1[[#This Row],[Traffic (%)]]&gt;=0,表1[[#This Row],[Traffic (%)]]&lt;=100),"正常","异常")</f>
        <v>正常</v>
      </c>
      <c r="M148">
        <v>7</v>
      </c>
      <c r="N148">
        <v>0.01</v>
      </c>
      <c r="O148">
        <v>0.7</v>
      </c>
      <c r="P148" t="str">
        <f>IF(OR(表1[[#This Row],[Competition]]&lt;0,表1[[#This Row],[Competition]]&gt;1),"异常","正常")</f>
        <v>正常</v>
      </c>
      <c r="Q148">
        <v>333000</v>
      </c>
      <c r="R148" t="s">
        <v>337</v>
      </c>
      <c r="S148" s="1">
        <v>45669</v>
      </c>
      <c r="T148" s="1" t="str">
        <f>IF(ISNUMBER(表1[[#This Row],[Last Seen]]),"日期正确","需要清洗")</f>
        <v>日期正确</v>
      </c>
      <c r="U148">
        <v>50</v>
      </c>
      <c r="V148" s="1" t="str">
        <f>IF(OR(表1[[#This Row],[Keyword Difficulty]]&lt;0,表1[[#This Row],[Keyword Difficulty]]&gt;100),"异常","正常")</f>
        <v>正常</v>
      </c>
    </row>
    <row r="149" spans="1:22" x14ac:dyDescent="0.2">
      <c r="A149" t="s">
        <v>43</v>
      </c>
      <c r="B149" t="s">
        <v>338</v>
      </c>
      <c r="C149" s="1" t="str">
        <f>LOWER(CLEAN(TRIM(表1[[#This Row],[Keyword]])))</f>
        <v>pmp training pmi</v>
      </c>
      <c r="D149" s="1" t="str">
        <f>IF(COUNTIF(表1[Keyword_Clean],表1[[#This Row],[Keyword_Clean]])&gt;1,"唯一","重复")</f>
        <v>重复</v>
      </c>
      <c r="E149">
        <v>3</v>
      </c>
      <c r="F149" t="str">
        <f>IF(OR(表1[[#This Row],[Position]]="",表1[[#This Row],[Position]]&lt;=0),"异常/空","正常")</f>
        <v>正常</v>
      </c>
      <c r="G149">
        <v>3</v>
      </c>
      <c r="H149">
        <v>210</v>
      </c>
      <c r="I149">
        <v>3.98</v>
      </c>
      <c r="J149">
        <v>1</v>
      </c>
      <c r="K149">
        <v>0</v>
      </c>
      <c r="L149" t="str">
        <f>IF(OR(表1[[#This Row],[Traffic (%)]]&gt;=0,表1[[#This Row],[Traffic (%)]]&lt;=100),"正常","异常")</f>
        <v>正常</v>
      </c>
      <c r="M149">
        <v>3</v>
      </c>
      <c r="N149">
        <v>0</v>
      </c>
      <c r="O149">
        <v>0.56999999999999995</v>
      </c>
      <c r="P149" t="str">
        <f>IF(OR(表1[[#This Row],[Competition]]&lt;0,表1[[#This Row],[Competition]]&gt;1),"异常","正常")</f>
        <v>正常</v>
      </c>
      <c r="Q149">
        <v>5580000</v>
      </c>
      <c r="R149" t="s">
        <v>339</v>
      </c>
      <c r="S149" s="1">
        <v>45666</v>
      </c>
      <c r="T149" s="1" t="str">
        <f>IF(ISNUMBER(表1[[#This Row],[Last Seen]]),"日期正确","需要清洗")</f>
        <v>日期正确</v>
      </c>
      <c r="U149">
        <v>70</v>
      </c>
      <c r="V149" s="1" t="str">
        <f>IF(OR(表1[[#This Row],[Keyword Difficulty]]&lt;0,表1[[#This Row],[Keyword Difficulty]]&gt;100),"异常","正常")</f>
        <v>正常</v>
      </c>
    </row>
    <row r="150" spans="1:22" x14ac:dyDescent="0.2">
      <c r="A150" t="s">
        <v>340</v>
      </c>
      <c r="B150" t="s">
        <v>205</v>
      </c>
      <c r="C150" s="1" t="str">
        <f>LOWER(CLEAN(TRIM(表1[[#This Row],[Keyword]])))</f>
        <v>skillup by simplilearn</v>
      </c>
      <c r="D150" s="1" t="str">
        <f>IF(COUNTIF(表1[Keyword_Clean],表1[[#This Row],[Keyword_Clean]])&gt;1,"唯一","重复")</f>
        <v>唯一</v>
      </c>
      <c r="E150">
        <v>2</v>
      </c>
      <c r="F150" t="str">
        <f>IF(OR(表1[[#This Row],[Position]]="",表1[[#This Row],[Position]]&lt;=0),"异常/空","正常")</f>
        <v>正常</v>
      </c>
      <c r="G150">
        <v>2</v>
      </c>
      <c r="H150">
        <v>90</v>
      </c>
      <c r="I150">
        <v>4.47</v>
      </c>
      <c r="J150">
        <v>1</v>
      </c>
      <c r="K150">
        <v>0</v>
      </c>
      <c r="L150" t="str">
        <f>IF(OR(表1[[#This Row],[Traffic (%)]]&gt;=0,表1[[#This Row],[Traffic (%)]]&lt;=100),"正常","异常")</f>
        <v>正常</v>
      </c>
      <c r="M150">
        <v>4</v>
      </c>
      <c r="N150">
        <v>0</v>
      </c>
      <c r="O150">
        <v>0.31</v>
      </c>
      <c r="P150" t="str">
        <f>IF(OR(表1[[#This Row],[Competition]]&lt;0,表1[[#This Row],[Competition]]&gt;1),"异常","正常")</f>
        <v>正常</v>
      </c>
      <c r="Q150">
        <v>55</v>
      </c>
      <c r="R150" t="s">
        <v>206</v>
      </c>
      <c r="S150" s="1">
        <v>45657</v>
      </c>
      <c r="T150" s="1" t="str">
        <f>IF(ISNUMBER(表1[[#This Row],[Last Seen]]),"日期正确","需要清洗")</f>
        <v>日期正确</v>
      </c>
      <c r="U150">
        <v>49</v>
      </c>
      <c r="V150" s="1" t="str">
        <f>IF(OR(表1[[#This Row],[Keyword Difficulty]]&lt;0,表1[[#This Row],[Keyword Difficulty]]&gt;100),"异常","正常")</f>
        <v>正常</v>
      </c>
    </row>
    <row r="151" spans="1:22" x14ac:dyDescent="0.2">
      <c r="A151" t="s">
        <v>341</v>
      </c>
      <c r="B151" t="s">
        <v>342</v>
      </c>
      <c r="C151" s="1" t="str">
        <f>LOWER(CLEAN(TRIM(表1[[#This Row],[Keyword]])))</f>
        <v>caltech post graduate program in cloud computing</v>
      </c>
      <c r="D151" s="1" t="str">
        <f>IF(COUNTIF(表1[Keyword_Clean],表1[[#This Row],[Keyword_Clean]])&gt;1,"唯一","重复")</f>
        <v>重复</v>
      </c>
      <c r="E151">
        <v>3</v>
      </c>
      <c r="F151" t="str">
        <f>IF(OR(表1[[#This Row],[Position]]="",表1[[#This Row],[Position]]&lt;=0),"异常/空","正常")</f>
        <v>正常</v>
      </c>
      <c r="G151">
        <v>3</v>
      </c>
      <c r="H151">
        <v>40</v>
      </c>
      <c r="I151">
        <v>15.02</v>
      </c>
      <c r="J151">
        <v>0</v>
      </c>
      <c r="K151">
        <v>0</v>
      </c>
      <c r="L151" t="str">
        <f>IF(OR(表1[[#This Row],[Traffic (%)]]&gt;=0,表1[[#This Row],[Traffic (%)]]&lt;=100),"正常","异常")</f>
        <v>正常</v>
      </c>
      <c r="M151">
        <v>0</v>
      </c>
      <c r="N151">
        <v>0</v>
      </c>
      <c r="O151">
        <v>0.47</v>
      </c>
      <c r="P151" t="str">
        <f>IF(OR(表1[[#This Row],[Competition]]&lt;0,表1[[#This Row],[Competition]]&gt;1),"异常","正常")</f>
        <v>正常</v>
      </c>
      <c r="Q151">
        <v>79700</v>
      </c>
      <c r="R151" t="s">
        <v>343</v>
      </c>
      <c r="S151" s="1">
        <v>45657</v>
      </c>
      <c r="T151" s="1" t="str">
        <f>IF(ISNUMBER(表1[[#This Row],[Last Seen]]),"日期正确","需要清洗")</f>
        <v>日期正确</v>
      </c>
      <c r="U151">
        <v>19</v>
      </c>
      <c r="V151" s="1" t="str">
        <f>IF(OR(表1[[#This Row],[Keyword Difficulty]]&lt;0,表1[[#This Row],[Keyword Difficulty]]&gt;100),"异常","正常")</f>
        <v>正常</v>
      </c>
    </row>
    <row r="152" spans="1:22" x14ac:dyDescent="0.2">
      <c r="A152" t="s">
        <v>245</v>
      </c>
      <c r="B152" t="s">
        <v>344</v>
      </c>
      <c r="C152" s="1" t="str">
        <f>LOWER(CLEAN(TRIM(表1[[#This Row],[Keyword]])))</f>
        <v>it project manager certification</v>
      </c>
      <c r="D152" s="1" t="str">
        <f>IF(COUNTIF(表1[Keyword_Clean],表1[[#This Row],[Keyword_Clean]])&gt;1,"唯一","重复")</f>
        <v>重复</v>
      </c>
      <c r="E152">
        <v>5</v>
      </c>
      <c r="F152" t="str">
        <f>IF(OR(表1[[#This Row],[Position]]="",表1[[#This Row],[Position]]&lt;=0),"异常/空","正常")</f>
        <v>正常</v>
      </c>
      <c r="G152">
        <v>5</v>
      </c>
      <c r="H152">
        <v>140</v>
      </c>
      <c r="I152">
        <v>7.25</v>
      </c>
      <c r="J152">
        <v>0</v>
      </c>
      <c r="K152">
        <v>0</v>
      </c>
      <c r="L152" t="str">
        <f>IF(OR(表1[[#This Row],[Traffic (%)]]&gt;=0,表1[[#This Row],[Traffic (%)]]&lt;=100),"正常","异常")</f>
        <v>正常</v>
      </c>
      <c r="M152">
        <v>0</v>
      </c>
      <c r="N152">
        <v>0</v>
      </c>
      <c r="O152">
        <v>0.51</v>
      </c>
      <c r="P152" t="str">
        <f>IF(OR(表1[[#This Row],[Competition]]&lt;0,表1[[#This Row],[Competition]]&gt;1),"异常","正常")</f>
        <v>正常</v>
      </c>
      <c r="Q152">
        <v>262000000</v>
      </c>
      <c r="R152" t="s">
        <v>345</v>
      </c>
      <c r="S152" s="1">
        <v>45655</v>
      </c>
      <c r="T152" s="1" t="str">
        <f>IF(ISNUMBER(表1[[#This Row],[Last Seen]]),"日期正确","需要清洗")</f>
        <v>日期正确</v>
      </c>
      <c r="U152">
        <v>45</v>
      </c>
      <c r="V152" s="1" t="str">
        <f>IF(OR(表1[[#This Row],[Keyword Difficulty]]&lt;0,表1[[#This Row],[Keyword Difficulty]]&gt;100),"异常","正常")</f>
        <v>正常</v>
      </c>
    </row>
    <row r="153" spans="1:22" x14ac:dyDescent="0.2">
      <c r="A153" t="s">
        <v>66</v>
      </c>
      <c r="B153" t="s">
        <v>244</v>
      </c>
      <c r="C153" s="1" t="str">
        <f>LOWER(CLEAN(TRIM(表1[[#This Row],[Keyword]])))</f>
        <v>simplilearns</v>
      </c>
      <c r="D153" s="1" t="str">
        <f>IF(COUNTIF(表1[Keyword_Clean],表1[[#This Row],[Keyword_Clean]])&gt;1,"唯一","重复")</f>
        <v>唯一</v>
      </c>
      <c r="E153">
        <v>2</v>
      </c>
      <c r="F153" t="str">
        <f>IF(OR(表1[[#This Row],[Position]]="",表1[[#This Row],[Position]]&lt;=0),"异常/空","正常")</f>
        <v>正常</v>
      </c>
      <c r="G153">
        <v>2</v>
      </c>
      <c r="H153">
        <v>50</v>
      </c>
      <c r="I153">
        <v>2.31</v>
      </c>
      <c r="J153">
        <v>0</v>
      </c>
      <c r="K153">
        <v>0</v>
      </c>
      <c r="L153" t="str">
        <f>IF(OR(表1[[#This Row],[Traffic (%)]]&gt;=0,表1[[#This Row],[Traffic (%)]]&lt;=100),"正常","异常")</f>
        <v>正常</v>
      </c>
      <c r="M153">
        <v>0</v>
      </c>
      <c r="N153">
        <v>0</v>
      </c>
      <c r="O153">
        <v>0.14000000000000001</v>
      </c>
      <c r="P153" t="str">
        <f>IF(OR(表1[[#This Row],[Competition]]&lt;0,表1[[#This Row],[Competition]]&gt;1),"异常","正常")</f>
        <v>正常</v>
      </c>
      <c r="Q153">
        <v>4410000</v>
      </c>
      <c r="R153" t="s">
        <v>177</v>
      </c>
      <c r="S153" s="1">
        <v>45674</v>
      </c>
      <c r="T153" s="1" t="str">
        <f>IF(ISNUMBER(表1[[#This Row],[Last Seen]]),"日期正确","需要清洗")</f>
        <v>日期正确</v>
      </c>
      <c r="U153">
        <v>76</v>
      </c>
      <c r="V153" s="1" t="str">
        <f>IF(OR(表1[[#This Row],[Keyword Difficulty]]&lt;0,表1[[#This Row],[Keyword Difficulty]]&gt;100),"异常","正常")</f>
        <v>正常</v>
      </c>
    </row>
    <row r="154" spans="1:22" x14ac:dyDescent="0.2">
      <c r="A154" t="s">
        <v>18</v>
      </c>
      <c r="B154" t="s">
        <v>346</v>
      </c>
      <c r="C154" s="1" t="str">
        <f>LOWER(CLEAN(TRIM(表1[[#This Row],[Keyword]])))</f>
        <v>pmi exam prep</v>
      </c>
      <c r="D154" s="1" t="str">
        <f>IF(COUNTIF(表1[Keyword_Clean],表1[[#This Row],[Keyword_Clean]])&gt;1,"唯一","重复")</f>
        <v>重复</v>
      </c>
      <c r="E154">
        <v>4</v>
      </c>
      <c r="F154" t="str">
        <f>IF(OR(表1[[#This Row],[Position]]="",表1[[#This Row],[Position]]&lt;=0),"异常/空","正常")</f>
        <v>正常</v>
      </c>
      <c r="G154">
        <v>4</v>
      </c>
      <c r="H154">
        <v>140</v>
      </c>
      <c r="I154">
        <v>5.36</v>
      </c>
      <c r="J154">
        <v>0</v>
      </c>
      <c r="K154">
        <v>0</v>
      </c>
      <c r="L154" t="str">
        <f>IF(OR(表1[[#This Row],[Traffic (%)]]&gt;=0,表1[[#This Row],[Traffic (%)]]&lt;=100),"正常","异常")</f>
        <v>正常</v>
      </c>
      <c r="M154">
        <v>0</v>
      </c>
      <c r="N154">
        <v>0</v>
      </c>
      <c r="O154">
        <v>0.66</v>
      </c>
      <c r="P154" t="str">
        <f>IF(OR(表1[[#This Row],[Competition]]&lt;0,表1[[#This Row],[Competition]]&gt;1),"异常","正常")</f>
        <v>正常</v>
      </c>
      <c r="Q154">
        <v>5700000</v>
      </c>
      <c r="R154" t="s">
        <v>347</v>
      </c>
      <c r="S154" s="1">
        <v>45657</v>
      </c>
      <c r="T154" s="1" t="str">
        <f>IF(ISNUMBER(表1[[#This Row],[Last Seen]]),"日期正确","需要清洗")</f>
        <v>日期正确</v>
      </c>
      <c r="U154">
        <v>56</v>
      </c>
      <c r="V154" s="1" t="str">
        <f>IF(OR(表1[[#This Row],[Keyword Difficulty]]&lt;0,表1[[#This Row],[Keyword Difficulty]]&gt;100),"异常","正常")</f>
        <v>正常</v>
      </c>
    </row>
    <row r="155" spans="1:22" x14ac:dyDescent="0.2">
      <c r="A155" t="s">
        <v>50</v>
      </c>
      <c r="B155" t="s">
        <v>348</v>
      </c>
      <c r="C155" s="1" t="str">
        <f>LOWER(CLEAN(TRIM(表1[[#This Row],[Keyword]])))</f>
        <v>best course for pmp</v>
      </c>
      <c r="D155" s="1" t="str">
        <f>IF(COUNTIF(表1[Keyword_Clean],表1[[#This Row],[Keyword_Clean]])&gt;1,"唯一","重复")</f>
        <v>重复</v>
      </c>
      <c r="E155">
        <v>4</v>
      </c>
      <c r="F155" t="str">
        <f>IF(OR(表1[[#This Row],[Position]]="",表1[[#This Row],[Position]]&lt;=0),"异常/空","正常")</f>
        <v>正常</v>
      </c>
      <c r="G155">
        <v>4</v>
      </c>
      <c r="H155">
        <v>30</v>
      </c>
      <c r="I155">
        <v>10.26</v>
      </c>
      <c r="J155">
        <v>0</v>
      </c>
      <c r="K155">
        <v>0</v>
      </c>
      <c r="L155" t="str">
        <f>IF(OR(表1[[#This Row],[Traffic (%)]]&gt;=0,表1[[#This Row],[Traffic (%)]]&lt;=100),"正常","异常")</f>
        <v>正常</v>
      </c>
      <c r="M155">
        <v>0</v>
      </c>
      <c r="N155">
        <v>0</v>
      </c>
      <c r="O155">
        <v>0.24</v>
      </c>
      <c r="P155" t="str">
        <f>IF(OR(表1[[#This Row],[Competition]]&lt;0,表1[[#This Row],[Competition]]&gt;1),"异常","正常")</f>
        <v>正常</v>
      </c>
      <c r="Q155">
        <v>15600000</v>
      </c>
      <c r="R155" t="s">
        <v>349</v>
      </c>
      <c r="S155" s="1">
        <v>45657</v>
      </c>
      <c r="T155" s="1" t="str">
        <f>IF(ISNUMBER(表1[[#This Row],[Last Seen]]),"日期正确","需要清洗")</f>
        <v>日期正确</v>
      </c>
      <c r="U155">
        <v>39</v>
      </c>
      <c r="V155" s="1" t="str">
        <f>IF(OR(表1[[#This Row],[Keyword Difficulty]]&lt;0,表1[[#This Row],[Keyword Difficulty]]&gt;100),"异常","正常")</f>
        <v>正常</v>
      </c>
    </row>
    <row r="156" spans="1:22" x14ac:dyDescent="0.2">
      <c r="A156" t="s">
        <v>298</v>
      </c>
      <c r="B156" t="s">
        <v>350</v>
      </c>
      <c r="C156" s="1" t="str">
        <f>LOWER(CLEAN(TRIM(表1[[#This Row],[Keyword]])))</f>
        <v>itil certification online</v>
      </c>
      <c r="D156" s="1" t="str">
        <f>IF(COUNTIF(表1[Keyword_Clean],表1[[#This Row],[Keyword_Clean]])&gt;1,"唯一","重复")</f>
        <v>重复</v>
      </c>
      <c r="E156">
        <v>3</v>
      </c>
      <c r="F156" t="str">
        <f>IF(OR(表1[[#This Row],[Position]]="",表1[[#This Row],[Position]]&lt;=0),"异常/空","正常")</f>
        <v>正常</v>
      </c>
      <c r="G156">
        <v>3</v>
      </c>
      <c r="H156">
        <v>110</v>
      </c>
      <c r="I156">
        <v>3.55</v>
      </c>
      <c r="J156">
        <v>0</v>
      </c>
      <c r="K156">
        <v>0</v>
      </c>
      <c r="L156" t="str">
        <f>IF(OR(表1[[#This Row],[Traffic (%)]]&gt;=0,表1[[#This Row],[Traffic (%)]]&lt;=100),"正常","异常")</f>
        <v>正常</v>
      </c>
      <c r="M156">
        <v>0</v>
      </c>
      <c r="N156">
        <v>0</v>
      </c>
      <c r="O156">
        <v>0.3</v>
      </c>
      <c r="P156" t="str">
        <f>IF(OR(表1[[#This Row],[Competition]]&lt;0,表1[[#This Row],[Competition]]&gt;1),"异常","正常")</f>
        <v>正常</v>
      </c>
      <c r="Q156">
        <v>3810000</v>
      </c>
      <c r="R156" t="s">
        <v>351</v>
      </c>
      <c r="S156" s="1">
        <v>45660</v>
      </c>
      <c r="T156" s="1" t="str">
        <f>IF(ISNUMBER(表1[[#This Row],[Last Seen]]),"日期正确","需要清洗")</f>
        <v>日期正确</v>
      </c>
      <c r="U156">
        <v>40</v>
      </c>
      <c r="V156" s="1" t="str">
        <f>IF(OR(表1[[#This Row],[Keyword Difficulty]]&lt;0,表1[[#This Row],[Keyword Difficulty]]&gt;100),"异常","正常")</f>
        <v>正常</v>
      </c>
    </row>
    <row r="157" spans="1:22" x14ac:dyDescent="0.2">
      <c r="A157" t="s">
        <v>186</v>
      </c>
      <c r="B157" t="s">
        <v>352</v>
      </c>
      <c r="C157" s="1" t="str">
        <f>LOWER(CLEAN(TRIM(表1[[#This Row],[Keyword]])))</f>
        <v>itil online certification</v>
      </c>
      <c r="D157" s="1" t="str">
        <f>IF(COUNTIF(表1[Keyword_Clean],表1[[#This Row],[Keyword_Clean]])&gt;1,"唯一","重复")</f>
        <v>重复</v>
      </c>
      <c r="E157">
        <v>2</v>
      </c>
      <c r="F157" t="str">
        <f>IF(OR(表1[[#This Row],[Position]]="",表1[[#This Row],[Position]]&lt;=0),"异常/空","正常")</f>
        <v>正常</v>
      </c>
      <c r="G157">
        <v>2</v>
      </c>
      <c r="H157">
        <v>30</v>
      </c>
      <c r="I157">
        <v>4</v>
      </c>
      <c r="J157">
        <v>0</v>
      </c>
      <c r="K157">
        <v>0</v>
      </c>
      <c r="L157" t="str">
        <f>IF(OR(表1[[#This Row],[Traffic (%)]]&gt;=0,表1[[#This Row],[Traffic (%)]]&lt;=100),"正常","异常")</f>
        <v>正常</v>
      </c>
      <c r="M157">
        <v>0</v>
      </c>
      <c r="N157">
        <v>0</v>
      </c>
      <c r="O157">
        <v>0.28999999999999998</v>
      </c>
      <c r="P157" t="str">
        <f>IF(OR(表1[[#This Row],[Competition]]&lt;0,表1[[#This Row],[Competition]]&gt;1),"异常","正常")</f>
        <v>正常</v>
      </c>
      <c r="Q157">
        <v>11600000</v>
      </c>
      <c r="R157" t="s">
        <v>353</v>
      </c>
      <c r="S157" s="1">
        <v>45657</v>
      </c>
      <c r="T157" s="1" t="str">
        <f>IF(ISNUMBER(表1[[#This Row],[Last Seen]]),"日期正确","需要清洗")</f>
        <v>日期正确</v>
      </c>
      <c r="U157">
        <v>35</v>
      </c>
      <c r="V157" s="1" t="str">
        <f>IF(OR(表1[[#This Row],[Keyword Difficulty]]&lt;0,表1[[#This Row],[Keyword Difficulty]]&gt;100),"异常","正常")</f>
        <v>正常</v>
      </c>
    </row>
    <row r="158" spans="1:22" x14ac:dyDescent="0.2">
      <c r="A158" t="s">
        <v>354</v>
      </c>
      <c r="B158" t="s">
        <v>355</v>
      </c>
      <c r="C158" s="1" t="str">
        <f>LOWER(CLEAN(TRIM(表1[[#This Row],[Keyword]])))</f>
        <v>best platform to learn aws</v>
      </c>
      <c r="D158" s="1" t="str">
        <f>IF(COUNTIF(表1[Keyword_Clean],表1[[#This Row],[Keyword_Clean]])&gt;1,"唯一","重复")</f>
        <v>重复</v>
      </c>
      <c r="E158">
        <v>4</v>
      </c>
      <c r="F158" t="str">
        <f>IF(OR(表1[[#This Row],[Position]]="",表1[[#This Row],[Position]]&lt;=0),"异常/空","正常")</f>
        <v>正常</v>
      </c>
      <c r="G158">
        <v>0</v>
      </c>
      <c r="H158">
        <v>110</v>
      </c>
      <c r="I158">
        <v>0</v>
      </c>
      <c r="J158">
        <v>0</v>
      </c>
      <c r="K158">
        <v>0</v>
      </c>
      <c r="L158" t="str">
        <f>IF(OR(表1[[#This Row],[Traffic (%)]]&gt;=0,表1[[#This Row],[Traffic (%)]]&lt;=100),"正常","异常")</f>
        <v>正常</v>
      </c>
      <c r="M158">
        <v>0</v>
      </c>
      <c r="N158">
        <v>0</v>
      </c>
      <c r="O158">
        <v>0.26</v>
      </c>
      <c r="P158" t="str">
        <f>IF(OR(表1[[#This Row],[Competition]]&lt;0,表1[[#This Row],[Competition]]&gt;1),"异常","正常")</f>
        <v>正常</v>
      </c>
      <c r="Q158">
        <v>149000000</v>
      </c>
      <c r="R158" t="s">
        <v>356</v>
      </c>
      <c r="S158" s="1">
        <v>45683</v>
      </c>
      <c r="T158" s="1" t="str">
        <f>IF(ISNUMBER(表1[[#This Row],[Last Seen]]),"日期正确","需要清洗")</f>
        <v>日期正确</v>
      </c>
      <c r="U158">
        <v>38</v>
      </c>
      <c r="V158" s="1" t="str">
        <f>IF(OR(表1[[#This Row],[Keyword Difficulty]]&lt;0,表1[[#This Row],[Keyword Difficulty]]&gt;100),"异常","正常")</f>
        <v>正常</v>
      </c>
    </row>
    <row r="159" spans="1:22" x14ac:dyDescent="0.2">
      <c r="A159" t="s">
        <v>357</v>
      </c>
      <c r="B159" t="s">
        <v>358</v>
      </c>
      <c r="C159" s="1" t="str">
        <f>LOWER(CLEAN(TRIM(表1[[#This Row],[Keyword]])))</f>
        <v>pmp certification what is it</v>
      </c>
      <c r="D159" s="1" t="str">
        <f>IF(COUNTIF(表1[Keyword_Clean],表1[[#This Row],[Keyword_Clean]])&gt;1,"唯一","重复")</f>
        <v>重复</v>
      </c>
      <c r="E159">
        <v>4</v>
      </c>
      <c r="F159" t="str">
        <f>IF(OR(表1[[#This Row],[Position]]="",表1[[#This Row],[Position]]&lt;=0),"异常/空","正常")</f>
        <v>正常</v>
      </c>
      <c r="G159">
        <v>4</v>
      </c>
      <c r="H159">
        <v>70</v>
      </c>
      <c r="I159">
        <v>2.08</v>
      </c>
      <c r="J159">
        <v>0</v>
      </c>
      <c r="K159">
        <v>0</v>
      </c>
      <c r="L159" t="str">
        <f>IF(OR(表1[[#This Row],[Traffic (%)]]&gt;=0,表1[[#This Row],[Traffic (%)]]&lt;=100),"正常","异常")</f>
        <v>正常</v>
      </c>
      <c r="M159">
        <v>0</v>
      </c>
      <c r="N159">
        <v>0</v>
      </c>
      <c r="O159">
        <v>0.28000000000000003</v>
      </c>
      <c r="P159" t="str">
        <f>IF(OR(表1[[#This Row],[Competition]]&lt;0,表1[[#This Row],[Competition]]&gt;1),"异常","正常")</f>
        <v>正常</v>
      </c>
      <c r="Q159">
        <v>143000000</v>
      </c>
      <c r="R159" t="s">
        <v>359</v>
      </c>
      <c r="S159" s="1">
        <v>45658</v>
      </c>
      <c r="T159" s="1" t="str">
        <f>IF(ISNUMBER(表1[[#This Row],[Last Seen]]),"日期正确","需要清洗")</f>
        <v>日期正确</v>
      </c>
      <c r="U159">
        <v>49</v>
      </c>
      <c r="V159" s="1" t="str">
        <f>IF(OR(表1[[#This Row],[Keyword Difficulty]]&lt;0,表1[[#This Row],[Keyword Difficulty]]&gt;100),"异常","正常")</f>
        <v>正常</v>
      </c>
    </row>
    <row r="160" spans="1:22" x14ac:dyDescent="0.2">
      <c r="A160" t="s">
        <v>360</v>
      </c>
      <c r="B160" t="s">
        <v>283</v>
      </c>
      <c r="C160" s="1" t="str">
        <f>LOWER(CLEAN(TRIM(表1[[#This Row],[Keyword]])))</f>
        <v>certified associate in project management capm course</v>
      </c>
      <c r="D160" s="1" t="str">
        <f>IF(COUNTIF(表1[Keyword_Clean],表1[[#This Row],[Keyword_Clean]])&gt;1,"唯一","重复")</f>
        <v>唯一</v>
      </c>
      <c r="E160">
        <v>5</v>
      </c>
      <c r="F160" t="str">
        <f>IF(OR(表1[[#This Row],[Position]]="",表1[[#This Row],[Position]]&lt;=0),"异常/空","正常")</f>
        <v>正常</v>
      </c>
      <c r="G160">
        <v>5</v>
      </c>
      <c r="H160">
        <v>110</v>
      </c>
      <c r="I160">
        <v>6.11</v>
      </c>
      <c r="J160">
        <v>0</v>
      </c>
      <c r="K160">
        <v>0</v>
      </c>
      <c r="L160" t="str">
        <f>IF(OR(表1[[#This Row],[Traffic (%)]]&gt;=0,表1[[#This Row],[Traffic (%)]]&lt;=100),"正常","异常")</f>
        <v>正常</v>
      </c>
      <c r="M160">
        <v>0</v>
      </c>
      <c r="N160">
        <v>0</v>
      </c>
      <c r="O160">
        <v>0.75</v>
      </c>
      <c r="P160" t="str">
        <f>IF(OR(表1[[#This Row],[Competition]]&lt;0,表1[[#This Row],[Competition]]&gt;1),"异常","正常")</f>
        <v>正常</v>
      </c>
      <c r="Q160">
        <v>328000</v>
      </c>
      <c r="R160" t="s">
        <v>284</v>
      </c>
      <c r="S160" s="1">
        <v>45678</v>
      </c>
      <c r="T160" s="1" t="str">
        <f>IF(ISNUMBER(表1[[#This Row],[Last Seen]]),"日期正确","需要清洗")</f>
        <v>日期正确</v>
      </c>
      <c r="U160">
        <v>27</v>
      </c>
      <c r="V160" s="1" t="str">
        <f>IF(OR(表1[[#This Row],[Keyword Difficulty]]&lt;0,表1[[#This Row],[Keyword Difficulty]]&gt;100),"异常","正常")</f>
        <v>正常</v>
      </c>
    </row>
    <row r="161" spans="1:22" x14ac:dyDescent="0.2">
      <c r="A161" t="s">
        <v>361</v>
      </c>
      <c r="B161" t="s">
        <v>362</v>
      </c>
      <c r="C161" s="1" t="str">
        <f>LOWER(CLEAN(TRIM(表1[[#This Row],[Keyword]])))</f>
        <v>best pmp prep course</v>
      </c>
      <c r="D161" s="1" t="str">
        <f>IF(COUNTIF(表1[Keyword_Clean],表1[[#This Row],[Keyword_Clean]])&gt;1,"唯一","重复")</f>
        <v>重复</v>
      </c>
      <c r="E161">
        <v>6</v>
      </c>
      <c r="F161" t="str">
        <f>IF(OR(表1[[#This Row],[Position]]="",表1[[#This Row],[Position]]&lt;=0),"异常/空","正常")</f>
        <v>正常</v>
      </c>
      <c r="G161">
        <v>6</v>
      </c>
      <c r="H161">
        <v>170</v>
      </c>
      <c r="I161">
        <v>8.4</v>
      </c>
      <c r="J161">
        <v>0</v>
      </c>
      <c r="K161">
        <v>0</v>
      </c>
      <c r="L161" t="str">
        <f>IF(OR(表1[[#This Row],[Traffic (%)]]&gt;=0,表1[[#This Row],[Traffic (%)]]&lt;=100),"正常","异常")</f>
        <v>正常</v>
      </c>
      <c r="M161">
        <v>0</v>
      </c>
      <c r="N161">
        <v>0</v>
      </c>
      <c r="O161">
        <v>0.52</v>
      </c>
      <c r="P161" t="str">
        <f>IF(OR(表1[[#This Row],[Competition]]&lt;0,表1[[#This Row],[Competition]]&gt;1),"异常","正常")</f>
        <v>正常</v>
      </c>
      <c r="Q161">
        <v>1260000</v>
      </c>
      <c r="R161" t="s">
        <v>363</v>
      </c>
      <c r="S161" s="1">
        <v>45657</v>
      </c>
      <c r="T161" s="1" t="str">
        <f>IF(ISNUMBER(表1[[#This Row],[Last Seen]]),"日期正确","需要清洗")</f>
        <v>日期正确</v>
      </c>
      <c r="U161">
        <v>32</v>
      </c>
      <c r="V161" s="1" t="str">
        <f>IF(OR(表1[[#This Row],[Keyword Difficulty]]&lt;0,表1[[#This Row],[Keyword Difficulty]]&gt;100),"异常","正常")</f>
        <v>正常</v>
      </c>
    </row>
    <row r="162" spans="1:22" x14ac:dyDescent="0.2">
      <c r="A162" t="s">
        <v>298</v>
      </c>
      <c r="B162" t="s">
        <v>364</v>
      </c>
      <c r="C162" s="1" t="str">
        <f>LOWER(CLEAN(TRIM(表1[[#This Row],[Keyword]])))</f>
        <v>itil classes online</v>
      </c>
      <c r="D162" s="1" t="str">
        <f>IF(COUNTIF(表1[Keyword_Clean],表1[[#This Row],[Keyword_Clean]])&gt;1,"唯一","重复")</f>
        <v>重复</v>
      </c>
      <c r="E162">
        <v>3</v>
      </c>
      <c r="F162" t="str">
        <f>IF(OR(表1[[#This Row],[Position]]="",表1[[#This Row],[Position]]&lt;=0),"异常/空","正常")</f>
        <v>正常</v>
      </c>
      <c r="G162">
        <v>3</v>
      </c>
      <c r="H162">
        <v>70</v>
      </c>
      <c r="I162">
        <v>6.05</v>
      </c>
      <c r="J162">
        <v>0</v>
      </c>
      <c r="K162">
        <v>0</v>
      </c>
      <c r="L162" t="str">
        <f>IF(OR(表1[[#This Row],[Traffic (%)]]&gt;=0,表1[[#This Row],[Traffic (%)]]&lt;=100),"正常","异常")</f>
        <v>正常</v>
      </c>
      <c r="M162">
        <v>0</v>
      </c>
      <c r="N162">
        <v>0</v>
      </c>
      <c r="O162">
        <v>0.24</v>
      </c>
      <c r="P162" t="str">
        <f>IF(OR(表1[[#This Row],[Competition]]&lt;0,表1[[#This Row],[Competition]]&gt;1),"异常","正常")</f>
        <v>正常</v>
      </c>
      <c r="Q162">
        <v>716000</v>
      </c>
      <c r="R162" t="s">
        <v>365</v>
      </c>
      <c r="S162" s="1">
        <v>45678</v>
      </c>
      <c r="T162" s="1" t="str">
        <f>IF(ISNUMBER(表1[[#This Row],[Last Seen]]),"日期正确","需要清洗")</f>
        <v>日期正确</v>
      </c>
      <c r="U162">
        <v>33</v>
      </c>
      <c r="V162" s="1" t="str">
        <f>IF(OR(表1[[#This Row],[Keyword Difficulty]]&lt;0,表1[[#This Row],[Keyword Difficulty]]&gt;100),"异常","正常")</f>
        <v>正常</v>
      </c>
    </row>
    <row r="163" spans="1:22" x14ac:dyDescent="0.2">
      <c r="A163" t="s">
        <v>36</v>
      </c>
      <c r="B163" t="s">
        <v>288</v>
      </c>
      <c r="C163" s="1" t="str">
        <f>LOWER(CLEAN(TRIM(表1[[#This Row],[Keyword]])))</f>
        <v>simplilearn artificial intelligence engineer</v>
      </c>
      <c r="D163" s="1" t="str">
        <f>IF(COUNTIF(表1[Keyword_Clean],表1[[#This Row],[Keyword_Clean]])&gt;1,"唯一","重复")</f>
        <v>唯一</v>
      </c>
      <c r="E163">
        <v>4</v>
      </c>
      <c r="F163" t="str">
        <f>IF(OR(表1[[#This Row],[Position]]="",表1[[#This Row],[Position]]&lt;=0),"异常/空","正常")</f>
        <v>正常</v>
      </c>
      <c r="G163">
        <v>4</v>
      </c>
      <c r="H163">
        <v>30</v>
      </c>
      <c r="I163">
        <v>9.33</v>
      </c>
      <c r="J163">
        <v>0</v>
      </c>
      <c r="K163">
        <v>0</v>
      </c>
      <c r="L163" t="str">
        <f>IF(OR(表1[[#This Row],[Traffic (%)]]&gt;=0,表1[[#This Row],[Traffic (%)]]&lt;=100),"正常","异常")</f>
        <v>正常</v>
      </c>
      <c r="M163">
        <v>0</v>
      </c>
      <c r="N163">
        <v>0</v>
      </c>
      <c r="O163">
        <v>0.95</v>
      </c>
      <c r="P163" t="str">
        <f>IF(OR(表1[[#This Row],[Competition]]&lt;0,表1[[#This Row],[Competition]]&gt;1),"异常","正常")</f>
        <v>正常</v>
      </c>
      <c r="Q163">
        <v>149000</v>
      </c>
      <c r="R163" t="s">
        <v>366</v>
      </c>
      <c r="S163" s="1">
        <v>45653</v>
      </c>
      <c r="T163" s="1" t="str">
        <f>IF(ISNUMBER(表1[[#This Row],[Last Seen]]),"日期正确","需要清洗")</f>
        <v>日期正确</v>
      </c>
      <c r="U163">
        <v>24</v>
      </c>
      <c r="V163" s="1" t="str">
        <f>IF(OR(表1[[#This Row],[Keyword Difficulty]]&lt;0,表1[[#This Row],[Keyword Difficulty]]&gt;100),"异常","正常")</f>
        <v>正常</v>
      </c>
    </row>
    <row r="164" spans="1:22" x14ac:dyDescent="0.2">
      <c r="A164" t="s">
        <v>367</v>
      </c>
      <c r="B164" t="s">
        <v>288</v>
      </c>
      <c r="C164" s="1" t="str">
        <f>LOWER(CLEAN(TRIM(表1[[#This Row],[Keyword]])))</f>
        <v>simplilearn artificial intelligence engineer</v>
      </c>
      <c r="D164" s="1" t="str">
        <f>IF(COUNTIF(表1[Keyword_Clean],表1[[#This Row],[Keyword_Clean]])&gt;1,"唯一","重复")</f>
        <v>唯一</v>
      </c>
      <c r="E164">
        <v>6</v>
      </c>
      <c r="F164" t="str">
        <f>IF(OR(表1[[#This Row],[Position]]="",表1[[#This Row],[Position]]&lt;=0),"异常/空","正常")</f>
        <v>正常</v>
      </c>
      <c r="G164">
        <v>6</v>
      </c>
      <c r="H164">
        <v>30</v>
      </c>
      <c r="I164">
        <v>4.1900000000000004</v>
      </c>
      <c r="J164">
        <v>0</v>
      </c>
      <c r="K164">
        <v>0</v>
      </c>
      <c r="L164" t="str">
        <f>IF(OR(表1[[#This Row],[Traffic (%)]]&gt;=0,表1[[#This Row],[Traffic (%)]]&lt;=100),"正常","异常")</f>
        <v>正常</v>
      </c>
      <c r="M164">
        <v>0</v>
      </c>
      <c r="N164">
        <v>0</v>
      </c>
      <c r="O164">
        <v>0.43</v>
      </c>
      <c r="P164" t="str">
        <f>IF(OR(表1[[#This Row],[Competition]]&lt;0,表1[[#This Row],[Competition]]&gt;1),"异常","正常")</f>
        <v>正常</v>
      </c>
      <c r="Q164">
        <v>108000</v>
      </c>
      <c r="R164" t="s">
        <v>289</v>
      </c>
      <c r="S164" s="1">
        <v>45680</v>
      </c>
      <c r="T164" s="1" t="str">
        <f>IF(ISNUMBER(表1[[#This Row],[Last Seen]]),"日期正确","需要清洗")</f>
        <v>日期正确</v>
      </c>
      <c r="U164">
        <v>33</v>
      </c>
      <c r="V164" s="1" t="str">
        <f>IF(OR(表1[[#This Row],[Keyword Difficulty]]&lt;0,表1[[#This Row],[Keyword Difficulty]]&gt;100),"异常","正常")</f>
        <v>正常</v>
      </c>
    </row>
    <row r="165" spans="1:22" x14ac:dyDescent="0.2">
      <c r="A165" t="s">
        <v>186</v>
      </c>
      <c r="B165" t="s">
        <v>368</v>
      </c>
      <c r="C165" s="1" t="str">
        <f>LOWER(CLEAN(TRIM(表1[[#This Row],[Keyword]])))</f>
        <v>learning tree itil 4 foundation</v>
      </c>
      <c r="D165" s="1" t="str">
        <f>IF(COUNTIF(表1[Keyword_Clean],表1[[#This Row],[Keyword_Clean]])&gt;1,"唯一","重复")</f>
        <v>重复</v>
      </c>
      <c r="E165">
        <v>3</v>
      </c>
      <c r="F165" t="str">
        <f>IF(OR(表1[[#This Row],[Position]]="",表1[[#This Row],[Position]]&lt;=0),"异常/空","正常")</f>
        <v>正常</v>
      </c>
      <c r="G165">
        <v>3</v>
      </c>
      <c r="H165">
        <v>40</v>
      </c>
      <c r="I165">
        <v>2.5299999999999998</v>
      </c>
      <c r="J165">
        <v>0</v>
      </c>
      <c r="K165">
        <v>0</v>
      </c>
      <c r="L165" t="str">
        <f>IF(OR(表1[[#This Row],[Traffic (%)]]&gt;=0,表1[[#This Row],[Traffic (%)]]&lt;=100),"正常","异常")</f>
        <v>正常</v>
      </c>
      <c r="M165">
        <v>0</v>
      </c>
      <c r="N165">
        <v>0</v>
      </c>
      <c r="O165">
        <v>0.26</v>
      </c>
      <c r="P165" t="str">
        <f>IF(OR(表1[[#This Row],[Competition]]&lt;0,表1[[#This Row],[Competition]]&gt;1),"异常","正常")</f>
        <v>正常</v>
      </c>
      <c r="Q165">
        <v>235000</v>
      </c>
      <c r="R165" t="s">
        <v>369</v>
      </c>
      <c r="S165" s="1">
        <v>45657</v>
      </c>
      <c r="T165" s="1" t="str">
        <f>IF(ISNUMBER(表1[[#This Row],[Last Seen]]),"日期正确","需要清洗")</f>
        <v>日期正确</v>
      </c>
      <c r="U165">
        <v>8</v>
      </c>
      <c r="V165" s="1" t="str">
        <f>IF(OR(表1[[#This Row],[Keyword Difficulty]]&lt;0,表1[[#This Row],[Keyword Difficulty]]&gt;100),"异常","正常")</f>
        <v>正常</v>
      </c>
    </row>
    <row r="166" spans="1:22" x14ac:dyDescent="0.2">
      <c r="A166" t="s">
        <v>370</v>
      </c>
      <c r="B166" t="s">
        <v>371</v>
      </c>
      <c r="C166" s="1" t="str">
        <f>LOWER(CLEAN(TRIM(表1[[#This Row],[Keyword]])))</f>
        <v>purdue project management essentials</v>
      </c>
      <c r="D166" s="1" t="str">
        <f>IF(COUNTIF(表1[Keyword_Clean],表1[[#This Row],[Keyword_Clean]])&gt;1,"唯一","重复")</f>
        <v>唯一</v>
      </c>
      <c r="E166">
        <v>2</v>
      </c>
      <c r="F166" t="str">
        <f>IF(OR(表1[[#This Row],[Position]]="",表1[[#This Row],[Position]]&lt;=0),"异常/空","正常")</f>
        <v>正常</v>
      </c>
      <c r="G166">
        <v>2</v>
      </c>
      <c r="H166">
        <v>30</v>
      </c>
      <c r="I166">
        <v>5.1100000000000003</v>
      </c>
      <c r="J166">
        <v>0</v>
      </c>
      <c r="K166">
        <v>0</v>
      </c>
      <c r="L166" t="str">
        <f>IF(OR(表1[[#This Row],[Traffic (%)]]&gt;=0,表1[[#This Row],[Traffic (%)]]&lt;=100),"正常","异常")</f>
        <v>正常</v>
      </c>
      <c r="M166">
        <v>0</v>
      </c>
      <c r="N166">
        <v>0</v>
      </c>
      <c r="O166">
        <v>0.15</v>
      </c>
      <c r="P166" t="str">
        <f>IF(OR(表1[[#This Row],[Competition]]&lt;0,表1[[#This Row],[Competition]]&gt;1),"异常","正常")</f>
        <v>正常</v>
      </c>
      <c r="Q166">
        <v>186000</v>
      </c>
      <c r="R166" t="s">
        <v>372</v>
      </c>
      <c r="S166" s="1">
        <v>45658</v>
      </c>
      <c r="T166" s="1" t="str">
        <f>IF(ISNUMBER(表1[[#This Row],[Last Seen]]),"日期正确","需要清洗")</f>
        <v>日期正确</v>
      </c>
      <c r="U166">
        <v>34</v>
      </c>
      <c r="V166" s="1" t="str">
        <f>IF(OR(表1[[#This Row],[Keyword Difficulty]]&lt;0,表1[[#This Row],[Keyword Difficulty]]&gt;100),"异常","正常")</f>
        <v>正常</v>
      </c>
    </row>
    <row r="167" spans="1:22" x14ac:dyDescent="0.2">
      <c r="A167" t="s">
        <v>373</v>
      </c>
      <c r="B167" t="s">
        <v>371</v>
      </c>
      <c r="C167" s="1" t="str">
        <f>LOWER(CLEAN(TRIM(表1[[#This Row],[Keyword]])))</f>
        <v>purdue project management essentials</v>
      </c>
      <c r="D167" s="1" t="str">
        <f>IF(COUNTIF(表1[Keyword_Clean],表1[[#This Row],[Keyword_Clean]])&gt;1,"唯一","重复")</f>
        <v>唯一</v>
      </c>
      <c r="E167">
        <v>5</v>
      </c>
      <c r="F167" t="str">
        <f>IF(OR(表1[[#This Row],[Position]]="",表1[[#This Row],[Position]]&lt;=0),"异常/空","正常")</f>
        <v>正常</v>
      </c>
      <c r="G167">
        <v>5</v>
      </c>
      <c r="H167">
        <v>30</v>
      </c>
      <c r="I167">
        <v>5.1100000000000003</v>
      </c>
      <c r="J167">
        <v>0</v>
      </c>
      <c r="K167">
        <v>0</v>
      </c>
      <c r="L167" t="str">
        <f>IF(OR(表1[[#This Row],[Traffic (%)]]&gt;=0,表1[[#This Row],[Traffic (%)]]&lt;=100),"正常","异常")</f>
        <v>正常</v>
      </c>
      <c r="M167">
        <v>0</v>
      </c>
      <c r="N167">
        <v>0</v>
      </c>
      <c r="O167">
        <v>0.15</v>
      </c>
      <c r="P167" t="str">
        <f>IF(OR(表1[[#This Row],[Competition]]&lt;0,表1[[#This Row],[Competition]]&gt;1),"异常","正常")</f>
        <v>正常</v>
      </c>
      <c r="Q167">
        <v>186000</v>
      </c>
      <c r="R167" t="s">
        <v>372</v>
      </c>
      <c r="S167" s="1">
        <v>45658</v>
      </c>
      <c r="T167" s="1" t="str">
        <f>IF(ISNUMBER(表1[[#This Row],[Last Seen]]),"日期正确","需要清洗")</f>
        <v>日期正确</v>
      </c>
      <c r="U167">
        <v>34</v>
      </c>
      <c r="V167" s="1" t="str">
        <f>IF(OR(表1[[#This Row],[Keyword Difficulty]]&lt;0,表1[[#This Row],[Keyword Difficulty]]&gt;100),"异常","正常")</f>
        <v>正常</v>
      </c>
    </row>
    <row r="168" spans="1:22" x14ac:dyDescent="0.2">
      <c r="A168" t="s">
        <v>304</v>
      </c>
      <c r="B168" t="s">
        <v>374</v>
      </c>
      <c r="C168" s="1" t="str">
        <f>LOWER(CLEAN(TRIM(表1[[#This Row],[Keyword]])))</f>
        <v>it architect certification program</v>
      </c>
      <c r="D168" s="1" t="str">
        <f>IF(COUNTIF(表1[Keyword_Clean],表1[[#This Row],[Keyword_Clean]])&gt;1,"唯一","重复")</f>
        <v>重复</v>
      </c>
      <c r="E168">
        <v>4</v>
      </c>
      <c r="F168" t="str">
        <f>IF(OR(表1[[#This Row],[Position]]="",表1[[#This Row],[Position]]&lt;=0),"异常/空","正常")</f>
        <v>正常</v>
      </c>
      <c r="G168">
        <v>4</v>
      </c>
      <c r="H168">
        <v>110</v>
      </c>
      <c r="I168">
        <v>3.68</v>
      </c>
      <c r="J168">
        <v>0</v>
      </c>
      <c r="K168">
        <v>0</v>
      </c>
      <c r="L168" t="str">
        <f>IF(OR(表1[[#This Row],[Traffic (%)]]&gt;=0,表1[[#This Row],[Traffic (%)]]&lt;=100),"正常","异常")</f>
        <v>正常</v>
      </c>
      <c r="M168">
        <v>0</v>
      </c>
      <c r="N168">
        <v>0</v>
      </c>
      <c r="O168">
        <v>0.22</v>
      </c>
      <c r="P168" t="str">
        <f>IF(OR(表1[[#This Row],[Competition]]&lt;0,表1[[#This Row],[Competition]]&gt;1),"异常","正常")</f>
        <v>正常</v>
      </c>
      <c r="Q168">
        <v>41700000</v>
      </c>
      <c r="R168" t="s">
        <v>375</v>
      </c>
      <c r="S168" s="1">
        <v>45679</v>
      </c>
      <c r="T168" s="1" t="str">
        <f>IF(ISNUMBER(表1[[#This Row],[Last Seen]]),"日期正确","需要清洗")</f>
        <v>日期正确</v>
      </c>
      <c r="U168">
        <v>31</v>
      </c>
      <c r="V168" s="1" t="str">
        <f>IF(OR(表1[[#This Row],[Keyword Difficulty]]&lt;0,表1[[#This Row],[Keyword Difficulty]]&gt;100),"异常","正常")</f>
        <v>正常</v>
      </c>
    </row>
    <row r="169" spans="1:22" x14ac:dyDescent="0.2">
      <c r="A169" t="s">
        <v>376</v>
      </c>
      <c r="B169" t="s">
        <v>377</v>
      </c>
      <c r="C169" s="1" t="str">
        <f>LOWER(CLEAN(TRIM(表1[[#This Row],[Keyword]])))</f>
        <v>togaf course online</v>
      </c>
      <c r="D169" s="1" t="str">
        <f>IF(COUNTIF(表1[Keyword_Clean],表1[[#This Row],[Keyword_Clean]])&gt;1,"唯一","重复")</f>
        <v>重复</v>
      </c>
      <c r="E169">
        <v>2</v>
      </c>
      <c r="F169" t="str">
        <f>IF(OR(表1[[#This Row],[Position]]="",表1[[#This Row],[Position]]&lt;=0),"异常/空","正常")</f>
        <v>正常</v>
      </c>
      <c r="G169">
        <v>2</v>
      </c>
      <c r="H169">
        <v>40</v>
      </c>
      <c r="I169">
        <v>4.9400000000000004</v>
      </c>
      <c r="J169">
        <v>0</v>
      </c>
      <c r="K169">
        <v>0</v>
      </c>
      <c r="L169" t="str">
        <f>IF(OR(表1[[#This Row],[Traffic (%)]]&gt;=0,表1[[#This Row],[Traffic (%)]]&lt;=100),"正常","异常")</f>
        <v>正常</v>
      </c>
      <c r="M169">
        <v>0</v>
      </c>
      <c r="N169">
        <v>0</v>
      </c>
      <c r="O169">
        <v>0.4</v>
      </c>
      <c r="P169" t="str">
        <f>IF(OR(表1[[#This Row],[Competition]]&lt;0,表1[[#This Row],[Competition]]&gt;1),"异常","正常")</f>
        <v>正常</v>
      </c>
      <c r="Q169">
        <v>313000</v>
      </c>
      <c r="R169" t="s">
        <v>378</v>
      </c>
      <c r="S169" s="1">
        <v>45660</v>
      </c>
      <c r="T169" s="1" t="str">
        <f>IF(ISNUMBER(表1[[#This Row],[Last Seen]]),"日期正确","需要清洗")</f>
        <v>日期正确</v>
      </c>
      <c r="U169">
        <v>21</v>
      </c>
      <c r="V169" s="1" t="str">
        <f>IF(OR(表1[[#This Row],[Keyword Difficulty]]&lt;0,表1[[#This Row],[Keyword Difficulty]]&gt;100),"异常","正常")</f>
        <v>正常</v>
      </c>
    </row>
    <row r="170" spans="1:22" x14ac:dyDescent="0.2">
      <c r="A170" t="s">
        <v>379</v>
      </c>
      <c r="B170" t="s">
        <v>380</v>
      </c>
      <c r="C170" s="1" t="str">
        <f>LOWER(CLEAN(TRIM(表1[[#This Row],[Keyword]])))</f>
        <v>aws solutions architect-associate</v>
      </c>
      <c r="D170" s="1" t="str">
        <f>IF(COUNTIF(表1[Keyword_Clean],表1[[#This Row],[Keyword_Clean]])&gt;1,"唯一","重复")</f>
        <v>重复</v>
      </c>
      <c r="E170">
        <v>4</v>
      </c>
      <c r="F170" t="str">
        <f>IF(OR(表1[[#This Row],[Position]]="",表1[[#This Row],[Position]]&lt;=0),"异常/空","正常")</f>
        <v>正常</v>
      </c>
      <c r="G170">
        <v>4</v>
      </c>
      <c r="H170">
        <v>70</v>
      </c>
      <c r="I170">
        <v>3.86</v>
      </c>
      <c r="J170">
        <v>0</v>
      </c>
      <c r="K170">
        <v>0</v>
      </c>
      <c r="L170" t="str">
        <f>IF(OR(表1[[#This Row],[Traffic (%)]]&gt;=0,表1[[#This Row],[Traffic (%)]]&lt;=100),"正常","异常")</f>
        <v>正常</v>
      </c>
      <c r="M170">
        <v>0</v>
      </c>
      <c r="N170">
        <v>0</v>
      </c>
      <c r="O170">
        <v>0.25</v>
      </c>
      <c r="P170" t="str">
        <f>IF(OR(表1[[#This Row],[Competition]]&lt;0,表1[[#This Row],[Competition]]&gt;1),"异常","正常")</f>
        <v>正常</v>
      </c>
      <c r="Q170">
        <v>11000000</v>
      </c>
      <c r="R170" t="s">
        <v>381</v>
      </c>
      <c r="S170" s="1">
        <v>45662</v>
      </c>
      <c r="T170" s="1" t="str">
        <f>IF(ISNUMBER(表1[[#This Row],[Last Seen]]),"日期正确","需要清洗")</f>
        <v>日期正确</v>
      </c>
      <c r="U170">
        <v>61</v>
      </c>
      <c r="V170" s="1" t="str">
        <f>IF(OR(表1[[#This Row],[Keyword Difficulty]]&lt;0,表1[[#This Row],[Keyword Difficulty]]&gt;100),"异常","正常")</f>
        <v>正常</v>
      </c>
    </row>
    <row r="171" spans="1:22" x14ac:dyDescent="0.2">
      <c r="A171" t="s">
        <v>207</v>
      </c>
      <c r="B171" t="s">
        <v>382</v>
      </c>
      <c r="C171" s="1" t="str">
        <f>LOWER(CLEAN(TRIM(表1[[#This Row],[Keyword]])))</f>
        <v>get certified scrum master</v>
      </c>
      <c r="D171" s="1" t="str">
        <f>IF(COUNTIF(表1[Keyword_Clean],表1[[#This Row],[Keyword_Clean]])&gt;1,"唯一","重复")</f>
        <v>重复</v>
      </c>
      <c r="E171">
        <v>3</v>
      </c>
      <c r="F171" t="str">
        <f>IF(OR(表1[[#This Row],[Position]]="",表1[[#This Row],[Position]]&lt;=0),"异常/空","正常")</f>
        <v>正常</v>
      </c>
      <c r="G171">
        <v>3</v>
      </c>
      <c r="H171">
        <v>40</v>
      </c>
      <c r="I171">
        <v>4.1500000000000004</v>
      </c>
      <c r="J171">
        <v>0</v>
      </c>
      <c r="K171">
        <v>0</v>
      </c>
      <c r="L171" t="str">
        <f>IF(OR(表1[[#This Row],[Traffic (%)]]&gt;=0,表1[[#This Row],[Traffic (%)]]&lt;=100),"正常","异常")</f>
        <v>正常</v>
      </c>
      <c r="M171">
        <v>0</v>
      </c>
      <c r="N171">
        <v>0</v>
      </c>
      <c r="O171">
        <v>0.79</v>
      </c>
      <c r="P171" t="str">
        <f>IF(OR(表1[[#This Row],[Competition]]&lt;0,表1[[#This Row],[Competition]]&gt;1),"异常","正常")</f>
        <v>正常</v>
      </c>
      <c r="Q171">
        <v>15000000</v>
      </c>
      <c r="R171" t="s">
        <v>383</v>
      </c>
      <c r="S171" s="1">
        <v>45681</v>
      </c>
      <c r="T171" s="1" t="str">
        <f>IF(ISNUMBER(表1[[#This Row],[Last Seen]]),"日期正确","需要清洗")</f>
        <v>日期正确</v>
      </c>
      <c r="U171">
        <v>47</v>
      </c>
      <c r="V171" s="1" t="str">
        <f>IF(OR(表1[[#This Row],[Keyword Difficulty]]&lt;0,表1[[#This Row],[Keyword Difficulty]]&gt;100),"异常","正常")</f>
        <v>正常</v>
      </c>
    </row>
    <row r="172" spans="1:22" x14ac:dyDescent="0.2">
      <c r="A172" t="s">
        <v>384</v>
      </c>
      <c r="B172" t="s">
        <v>385</v>
      </c>
      <c r="C172" s="1" t="str">
        <f>LOWER(CLEAN(TRIM(表1[[#This Row],[Keyword]])))</f>
        <v>devops certification course</v>
      </c>
      <c r="D172" s="1" t="str">
        <f>IF(COUNTIF(表1[Keyword_Clean],表1[[#This Row],[Keyword_Clean]])&gt;1,"唯一","重复")</f>
        <v>重复</v>
      </c>
      <c r="E172">
        <v>4</v>
      </c>
      <c r="F172" t="str">
        <f>IF(OR(表1[[#This Row],[Position]]="",表1[[#This Row],[Position]]&lt;=0),"异常/空","正常")</f>
        <v>正常</v>
      </c>
      <c r="G172">
        <v>4</v>
      </c>
      <c r="H172">
        <v>50</v>
      </c>
      <c r="I172">
        <v>7.78</v>
      </c>
      <c r="J172">
        <v>0</v>
      </c>
      <c r="K172">
        <v>0</v>
      </c>
      <c r="L172" t="str">
        <f>IF(OR(表1[[#This Row],[Traffic (%)]]&gt;=0,表1[[#This Row],[Traffic (%)]]&lt;=100),"正常","异常")</f>
        <v>正常</v>
      </c>
      <c r="M172">
        <v>0</v>
      </c>
      <c r="N172">
        <v>0</v>
      </c>
      <c r="O172">
        <v>0.46</v>
      </c>
      <c r="P172" t="str">
        <f>IF(OR(表1[[#This Row],[Competition]]&lt;0,表1[[#This Row],[Competition]]&gt;1),"异常","正常")</f>
        <v>正常</v>
      </c>
      <c r="Q172">
        <v>51200000</v>
      </c>
      <c r="R172" t="s">
        <v>386</v>
      </c>
      <c r="S172" s="1">
        <v>45657</v>
      </c>
      <c r="T172" s="1" t="str">
        <f>IF(ISNUMBER(表1[[#This Row],[Last Seen]]),"日期正确","需要清洗")</f>
        <v>日期正确</v>
      </c>
      <c r="U172">
        <v>60</v>
      </c>
      <c r="V172" s="1" t="str">
        <f>IF(OR(表1[[#This Row],[Keyword Difficulty]]&lt;0,表1[[#This Row],[Keyword Difficulty]]&gt;100),"异常","正常")</f>
        <v>正常</v>
      </c>
    </row>
    <row r="173" spans="1:22" x14ac:dyDescent="0.2">
      <c r="A173" t="s">
        <v>21</v>
      </c>
      <c r="B173" t="s">
        <v>387</v>
      </c>
      <c r="C173" s="1" t="str">
        <f>LOWER(CLEAN(TRIM(表1[[#This Row],[Keyword]])))</f>
        <v>scrum master certification course</v>
      </c>
      <c r="D173" s="1" t="str">
        <f>IF(COUNTIF(表1[Keyword_Clean],表1[[#This Row],[Keyword_Clean]])&gt;1,"唯一","重复")</f>
        <v>重复</v>
      </c>
      <c r="E173">
        <v>4</v>
      </c>
      <c r="F173" t="str">
        <f>IF(OR(表1[[#This Row],[Position]]="",表1[[#This Row],[Position]]&lt;=0),"异常/空","正常")</f>
        <v>正常</v>
      </c>
      <c r="G173">
        <v>4</v>
      </c>
      <c r="H173">
        <v>140</v>
      </c>
      <c r="I173">
        <v>5.46</v>
      </c>
      <c r="J173">
        <v>0</v>
      </c>
      <c r="K173">
        <v>0</v>
      </c>
      <c r="L173" t="str">
        <f>IF(OR(表1[[#This Row],[Traffic (%)]]&gt;=0,表1[[#This Row],[Traffic (%)]]&lt;=100),"正常","异常")</f>
        <v>正常</v>
      </c>
      <c r="M173">
        <v>0</v>
      </c>
      <c r="N173">
        <v>0</v>
      </c>
      <c r="O173">
        <v>0.43</v>
      </c>
      <c r="P173" t="str">
        <f>IF(OR(表1[[#This Row],[Competition]]&lt;0,表1[[#This Row],[Competition]]&gt;1),"异常","正常")</f>
        <v>正常</v>
      </c>
      <c r="Q173">
        <v>13800000</v>
      </c>
      <c r="R173" t="s">
        <v>388</v>
      </c>
      <c r="S173" s="1">
        <v>45681</v>
      </c>
      <c r="T173" s="1" t="str">
        <f>IF(ISNUMBER(表1[[#This Row],[Last Seen]]),"日期正确","需要清洗")</f>
        <v>日期正确</v>
      </c>
      <c r="U173">
        <v>62</v>
      </c>
      <c r="V173" s="1" t="str">
        <f>IF(OR(表1[[#This Row],[Keyword Difficulty]]&lt;0,表1[[#This Row],[Keyword Difficulty]]&gt;100),"异常","正常")</f>
        <v>正常</v>
      </c>
    </row>
    <row r="174" spans="1:22" x14ac:dyDescent="0.2">
      <c r="A174" t="s">
        <v>15</v>
      </c>
      <c r="B174" t="s">
        <v>389</v>
      </c>
      <c r="C174" s="1" t="str">
        <f>LOWER(CLEAN(TRIM(表1[[#This Row],[Keyword]])))</f>
        <v>pmp training and certification cost</v>
      </c>
      <c r="D174" s="1" t="str">
        <f>IF(COUNTIF(表1[Keyword_Clean],表1[[#This Row],[Keyword_Clean]])&gt;1,"唯一","重复")</f>
        <v>重复</v>
      </c>
      <c r="E174">
        <v>4</v>
      </c>
      <c r="F174" t="str">
        <f>IF(OR(表1[[#This Row],[Position]]="",表1[[#This Row],[Position]]&lt;=0),"异常/空","正常")</f>
        <v>正常</v>
      </c>
      <c r="G174">
        <v>4</v>
      </c>
      <c r="H174">
        <v>50</v>
      </c>
      <c r="I174">
        <v>2.59</v>
      </c>
      <c r="J174">
        <v>0</v>
      </c>
      <c r="K174">
        <v>0</v>
      </c>
      <c r="L174" t="str">
        <f>IF(OR(表1[[#This Row],[Traffic (%)]]&gt;=0,表1[[#This Row],[Traffic (%)]]&lt;=100),"正常","异常")</f>
        <v>正常</v>
      </c>
      <c r="M174">
        <v>0</v>
      </c>
      <c r="N174">
        <v>0</v>
      </c>
      <c r="O174">
        <v>0.33</v>
      </c>
      <c r="P174" t="str">
        <f>IF(OR(表1[[#This Row],[Competition]]&lt;0,表1[[#This Row],[Competition]]&gt;1),"异常","正常")</f>
        <v>正常</v>
      </c>
      <c r="Q174">
        <v>6630000</v>
      </c>
      <c r="R174" t="s">
        <v>390</v>
      </c>
      <c r="S174" s="1">
        <v>45663</v>
      </c>
      <c r="T174" s="1" t="str">
        <f>IF(ISNUMBER(表1[[#This Row],[Last Seen]]),"日期正确","需要清洗")</f>
        <v>日期正确</v>
      </c>
      <c r="U174">
        <v>37</v>
      </c>
      <c r="V174" s="1" t="str">
        <f>IF(OR(表1[[#This Row],[Keyword Difficulty]]&lt;0,表1[[#This Row],[Keyword Difficulty]]&gt;100),"异常","正常")</f>
        <v>正常</v>
      </c>
    </row>
    <row r="175" spans="1:22" x14ac:dyDescent="0.2">
      <c r="A175" t="s">
        <v>391</v>
      </c>
      <c r="B175" t="s">
        <v>392</v>
      </c>
      <c r="C175" s="1" t="str">
        <f>LOWER(CLEAN(TRIM(表1[[#This Row],[Keyword]])))</f>
        <v>safe 6.0 certification</v>
      </c>
      <c r="D175" s="1" t="str">
        <f>IF(COUNTIF(表1[Keyword_Clean],表1[[#This Row],[Keyword_Clean]])&gt;1,"唯一","重复")</f>
        <v>重复</v>
      </c>
      <c r="E175">
        <v>4</v>
      </c>
      <c r="F175" t="str">
        <f>IF(OR(表1[[#This Row],[Position]]="",表1[[#This Row],[Position]]&lt;=0),"异常/空","正常")</f>
        <v>正常</v>
      </c>
      <c r="G175">
        <v>4</v>
      </c>
      <c r="H175">
        <v>70</v>
      </c>
      <c r="I175">
        <v>4.43</v>
      </c>
      <c r="J175">
        <v>0</v>
      </c>
      <c r="K175">
        <v>0</v>
      </c>
      <c r="L175" t="str">
        <f>IF(OR(表1[[#This Row],[Traffic (%)]]&gt;=0,表1[[#This Row],[Traffic (%)]]&lt;=100),"正常","异常")</f>
        <v>正常</v>
      </c>
      <c r="M175">
        <v>0</v>
      </c>
      <c r="N175">
        <v>0</v>
      </c>
      <c r="O175">
        <v>0.56999999999999995</v>
      </c>
      <c r="P175" t="str">
        <f>IF(OR(表1[[#This Row],[Competition]]&lt;0,表1[[#This Row],[Competition]]&gt;1),"异常","正常")</f>
        <v>正常</v>
      </c>
      <c r="Q175">
        <v>332000000</v>
      </c>
      <c r="R175" t="s">
        <v>393</v>
      </c>
      <c r="S175" s="1">
        <v>45679</v>
      </c>
      <c r="T175" s="1" t="str">
        <f>IF(ISNUMBER(表1[[#This Row],[Last Seen]]),"日期正确","需要清洗")</f>
        <v>日期正确</v>
      </c>
      <c r="U175">
        <v>38</v>
      </c>
      <c r="V175" s="1" t="str">
        <f>IF(OR(表1[[#This Row],[Keyword Difficulty]]&lt;0,表1[[#This Row],[Keyword Difficulty]]&gt;100),"异常","正常")</f>
        <v>正常</v>
      </c>
    </row>
    <row r="176" spans="1:22" x14ac:dyDescent="0.2">
      <c r="A176" t="s">
        <v>77</v>
      </c>
      <c r="B176" t="s">
        <v>394</v>
      </c>
      <c r="C176" s="1" t="str">
        <f>LOWER(CLEAN(TRIM(表1[[#This Row],[Keyword]])))</f>
        <v>pmp registered</v>
      </c>
      <c r="D176" s="1" t="str">
        <f>IF(COUNTIF(表1[Keyword_Clean],表1[[#This Row],[Keyword_Clean]])&gt;1,"唯一","重复")</f>
        <v>唯一</v>
      </c>
      <c r="E176">
        <v>2</v>
      </c>
      <c r="F176" t="str">
        <f>IF(OR(表1[[#This Row],[Position]]="",表1[[#This Row],[Position]]&lt;=0),"异常/空","正常")</f>
        <v>正常</v>
      </c>
      <c r="G176">
        <v>2</v>
      </c>
      <c r="H176">
        <v>40</v>
      </c>
      <c r="I176">
        <v>5.31</v>
      </c>
      <c r="J176">
        <v>0</v>
      </c>
      <c r="K176">
        <v>0</v>
      </c>
      <c r="L176" t="str">
        <f>IF(OR(表1[[#This Row],[Traffic (%)]]&gt;=0,表1[[#This Row],[Traffic (%)]]&lt;=100),"正常","异常")</f>
        <v>正常</v>
      </c>
      <c r="M176">
        <v>0</v>
      </c>
      <c r="N176">
        <v>0</v>
      </c>
      <c r="O176">
        <v>0.26</v>
      </c>
      <c r="P176" t="str">
        <f>IF(OR(表1[[#This Row],[Competition]]&lt;0,表1[[#This Row],[Competition]]&gt;1),"异常","正常")</f>
        <v>正常</v>
      </c>
      <c r="Q176">
        <v>51600000</v>
      </c>
      <c r="R176" t="s">
        <v>395</v>
      </c>
      <c r="S176" s="1">
        <v>45678</v>
      </c>
      <c r="T176" s="1" t="str">
        <f>IF(ISNUMBER(表1[[#This Row],[Last Seen]]),"日期正确","需要清洗")</f>
        <v>日期正确</v>
      </c>
      <c r="U176">
        <v>56</v>
      </c>
      <c r="V176" s="1" t="str">
        <f>IF(OR(表1[[#This Row],[Keyword Difficulty]]&lt;0,表1[[#This Row],[Keyword Difficulty]]&gt;100),"异常","正常")</f>
        <v>正常</v>
      </c>
    </row>
    <row r="177" spans="1:22" x14ac:dyDescent="0.2">
      <c r="A177" t="s">
        <v>15</v>
      </c>
      <c r="B177" t="s">
        <v>394</v>
      </c>
      <c r="C177" s="1" t="str">
        <f>LOWER(CLEAN(TRIM(表1[[#This Row],[Keyword]])))</f>
        <v>pmp registered</v>
      </c>
      <c r="D177" s="1" t="str">
        <f>IF(COUNTIF(表1[Keyword_Clean],表1[[#This Row],[Keyword_Clean]])&gt;1,"唯一","重复")</f>
        <v>唯一</v>
      </c>
      <c r="E177">
        <v>5</v>
      </c>
      <c r="F177" t="str">
        <f>IF(OR(表1[[#This Row],[Position]]="",表1[[#This Row],[Position]]&lt;=0),"异常/空","正常")</f>
        <v>正常</v>
      </c>
      <c r="G177">
        <v>5</v>
      </c>
      <c r="H177">
        <v>40</v>
      </c>
      <c r="I177">
        <v>5.31</v>
      </c>
      <c r="J177">
        <v>0</v>
      </c>
      <c r="K177">
        <v>0</v>
      </c>
      <c r="L177" t="str">
        <f>IF(OR(表1[[#This Row],[Traffic (%)]]&gt;=0,表1[[#This Row],[Traffic (%)]]&lt;=100),"正常","异常")</f>
        <v>正常</v>
      </c>
      <c r="M177">
        <v>0</v>
      </c>
      <c r="N177">
        <v>0</v>
      </c>
      <c r="O177">
        <v>0.26</v>
      </c>
      <c r="P177" t="str">
        <f>IF(OR(表1[[#This Row],[Competition]]&lt;0,表1[[#This Row],[Competition]]&gt;1),"异常","正常")</f>
        <v>正常</v>
      </c>
      <c r="Q177">
        <v>51600000</v>
      </c>
      <c r="R177" t="s">
        <v>395</v>
      </c>
      <c r="S177" s="1">
        <v>45678</v>
      </c>
      <c r="T177" s="1" t="str">
        <f>IF(ISNUMBER(表1[[#This Row],[Last Seen]]),"日期正确","需要清洗")</f>
        <v>日期正确</v>
      </c>
      <c r="U177">
        <v>56</v>
      </c>
      <c r="V177" s="1" t="str">
        <f>IF(OR(表1[[#This Row],[Keyword Difficulty]]&lt;0,表1[[#This Row],[Keyword Difficulty]]&gt;100),"异常","正常")</f>
        <v>正常</v>
      </c>
    </row>
    <row r="178" spans="1:22" x14ac:dyDescent="0.2">
      <c r="A178" t="s">
        <v>96</v>
      </c>
      <c r="B178" t="s">
        <v>396</v>
      </c>
      <c r="C178" s="1" t="str">
        <f>LOWER(CLEAN(TRIM(表1[[#This Row],[Keyword]])))</f>
        <v>how to register for pmp exam</v>
      </c>
      <c r="D178" s="1" t="str">
        <f>IF(COUNTIF(表1[Keyword_Clean],表1[[#This Row],[Keyword_Clean]])&gt;1,"唯一","重复")</f>
        <v>重复</v>
      </c>
      <c r="E178">
        <v>2</v>
      </c>
      <c r="F178" t="str">
        <f>IF(OR(表1[[#This Row],[Position]]="",表1[[#This Row],[Position]]&lt;=0),"异常/空","正常")</f>
        <v>正常</v>
      </c>
      <c r="G178">
        <v>2</v>
      </c>
      <c r="H178">
        <v>70</v>
      </c>
      <c r="I178">
        <v>3.18</v>
      </c>
      <c r="J178">
        <v>0</v>
      </c>
      <c r="K178">
        <v>0</v>
      </c>
      <c r="L178" t="str">
        <f>IF(OR(表1[[#This Row],[Traffic (%)]]&gt;=0,表1[[#This Row],[Traffic (%)]]&lt;=100),"正常","异常")</f>
        <v>正常</v>
      </c>
      <c r="M178">
        <v>0</v>
      </c>
      <c r="N178">
        <v>0</v>
      </c>
      <c r="O178">
        <v>0.45</v>
      </c>
      <c r="P178" t="str">
        <f>IF(OR(表1[[#This Row],[Competition]]&lt;0,表1[[#This Row],[Competition]]&gt;1),"异常","正常")</f>
        <v>正常</v>
      </c>
      <c r="Q178">
        <v>19900000</v>
      </c>
      <c r="R178" t="s">
        <v>397</v>
      </c>
      <c r="S178" s="1">
        <v>45672</v>
      </c>
      <c r="T178" s="1" t="str">
        <f>IF(ISNUMBER(表1[[#This Row],[Last Seen]]),"日期正确","需要清洗")</f>
        <v>日期正确</v>
      </c>
      <c r="U178">
        <v>18</v>
      </c>
      <c r="V178" s="1" t="str">
        <f>IF(OR(表1[[#This Row],[Keyword Difficulty]]&lt;0,表1[[#This Row],[Keyword Difficulty]]&gt;100),"异常","正常")</f>
        <v>正常</v>
      </c>
    </row>
    <row r="179" spans="1:22" x14ac:dyDescent="0.2">
      <c r="A179" t="s">
        <v>207</v>
      </c>
      <c r="B179" t="s">
        <v>398</v>
      </c>
      <c r="C179" s="1" t="str">
        <f>LOWER(CLEAN(TRIM(表1[[#This Row],[Keyword]])))</f>
        <v>srum master certification</v>
      </c>
      <c r="D179" s="1" t="str">
        <f>IF(COUNTIF(表1[Keyword_Clean],表1[[#This Row],[Keyword_Clean]])&gt;1,"唯一","重复")</f>
        <v>重复</v>
      </c>
      <c r="E179">
        <v>4</v>
      </c>
      <c r="F179" t="str">
        <f>IF(OR(表1[[#This Row],[Position]]="",表1[[#This Row],[Position]]&lt;=0),"异常/空","正常")</f>
        <v>正常</v>
      </c>
      <c r="G179">
        <v>4</v>
      </c>
      <c r="H179">
        <v>40</v>
      </c>
      <c r="I179">
        <v>3.4</v>
      </c>
      <c r="J179">
        <v>0</v>
      </c>
      <c r="K179">
        <v>0</v>
      </c>
      <c r="L179" t="str">
        <f>IF(OR(表1[[#This Row],[Traffic (%)]]&gt;=0,表1[[#This Row],[Traffic (%)]]&lt;=100),"正常","异常")</f>
        <v>正常</v>
      </c>
      <c r="M179">
        <v>0</v>
      </c>
      <c r="N179">
        <v>0</v>
      </c>
      <c r="O179">
        <v>0.56000000000000005</v>
      </c>
      <c r="P179" t="str">
        <f>IF(OR(表1[[#This Row],[Competition]]&lt;0,表1[[#This Row],[Competition]]&gt;1),"异常","正常")</f>
        <v>正常</v>
      </c>
      <c r="Q179">
        <v>32400000</v>
      </c>
      <c r="R179" t="s">
        <v>212</v>
      </c>
      <c r="S179" s="1">
        <v>45657</v>
      </c>
      <c r="T179" s="1" t="str">
        <f>IF(ISNUMBER(表1[[#This Row],[Last Seen]]),"日期正确","需要清洗")</f>
        <v>日期正确</v>
      </c>
      <c r="U179">
        <v>64</v>
      </c>
      <c r="V179" s="1" t="str">
        <f>IF(OR(表1[[#This Row],[Keyword Difficulty]]&lt;0,表1[[#This Row],[Keyword Difficulty]]&gt;100),"异常","正常")</f>
        <v>正常</v>
      </c>
    </row>
    <row r="180" spans="1:22" x14ac:dyDescent="0.2">
      <c r="A180" t="s">
        <v>399</v>
      </c>
      <c r="B180" t="s">
        <v>400</v>
      </c>
      <c r="C180" s="1" t="str">
        <f>LOWER(CLEAN(TRIM(表1[[#This Row],[Keyword]])))</f>
        <v>scrum safe certification</v>
      </c>
      <c r="D180" s="1" t="str">
        <f>IF(COUNTIF(表1[Keyword_Clean],表1[[#This Row],[Keyword_Clean]])&gt;1,"唯一","重复")</f>
        <v>重复</v>
      </c>
      <c r="E180">
        <v>3</v>
      </c>
      <c r="F180" t="str">
        <f>IF(OR(表1[[#This Row],[Position]]="",表1[[#This Row],[Position]]&lt;=0),"异常/空","正常")</f>
        <v>正常</v>
      </c>
      <c r="G180">
        <v>3</v>
      </c>
      <c r="H180">
        <v>30</v>
      </c>
      <c r="I180">
        <v>3.86</v>
      </c>
      <c r="J180">
        <v>0</v>
      </c>
      <c r="K180">
        <v>0</v>
      </c>
      <c r="L180" t="str">
        <f>IF(OR(表1[[#This Row],[Traffic (%)]]&gt;=0,表1[[#This Row],[Traffic (%)]]&lt;=100),"正常","异常")</f>
        <v>正常</v>
      </c>
      <c r="M180">
        <v>0</v>
      </c>
      <c r="N180">
        <v>0</v>
      </c>
      <c r="O180">
        <v>0.51</v>
      </c>
      <c r="P180" t="str">
        <f>IF(OR(表1[[#This Row],[Competition]]&lt;0,表1[[#This Row],[Competition]]&gt;1),"异常","正常")</f>
        <v>正常</v>
      </c>
      <c r="Q180">
        <v>7270000</v>
      </c>
      <c r="R180" t="s">
        <v>401</v>
      </c>
      <c r="S180" s="1">
        <v>45683</v>
      </c>
      <c r="T180" s="1" t="str">
        <f>IF(ISNUMBER(表1[[#This Row],[Last Seen]]),"日期正确","需要清洗")</f>
        <v>日期正确</v>
      </c>
      <c r="U180">
        <v>27</v>
      </c>
      <c r="V180" s="1" t="str">
        <f>IF(OR(表1[[#This Row],[Keyword Difficulty]]&lt;0,表1[[#This Row],[Keyword Difficulty]]&gt;100),"异常","正常")</f>
        <v>正常</v>
      </c>
    </row>
    <row r="181" spans="1:22" x14ac:dyDescent="0.2">
      <c r="A181" t="s">
        <v>361</v>
      </c>
      <c r="B181" t="s">
        <v>402</v>
      </c>
      <c r="C181" s="1" t="str">
        <f>LOWER(CLEAN(TRIM(表1[[#This Row],[Keyword]])))</f>
        <v>pmp free course</v>
      </c>
      <c r="D181" s="1" t="str">
        <f>IF(COUNTIF(表1[Keyword_Clean],表1[[#This Row],[Keyword_Clean]])&gt;1,"唯一","重复")</f>
        <v>重复</v>
      </c>
      <c r="E181">
        <v>3</v>
      </c>
      <c r="F181" t="str">
        <f>IF(OR(表1[[#This Row],[Position]]="",表1[[#This Row],[Position]]&lt;=0),"异常/空","正常")</f>
        <v>正常</v>
      </c>
      <c r="G181">
        <v>3</v>
      </c>
      <c r="H181">
        <v>110</v>
      </c>
      <c r="I181">
        <v>4.18</v>
      </c>
      <c r="J181">
        <v>0</v>
      </c>
      <c r="K181">
        <v>0</v>
      </c>
      <c r="L181" t="str">
        <f>IF(OR(表1[[#This Row],[Traffic (%)]]&gt;=0,表1[[#This Row],[Traffic (%)]]&lt;=100),"正常","异常")</f>
        <v>正常</v>
      </c>
      <c r="M181">
        <v>0</v>
      </c>
      <c r="N181">
        <v>0</v>
      </c>
      <c r="O181">
        <v>0.56999999999999995</v>
      </c>
      <c r="P181" t="str">
        <f>IF(OR(表1[[#This Row],[Competition]]&lt;0,表1[[#This Row],[Competition]]&gt;1),"异常","正常")</f>
        <v>正常</v>
      </c>
      <c r="Q181">
        <v>48300000</v>
      </c>
      <c r="R181" t="s">
        <v>403</v>
      </c>
      <c r="S181" s="1">
        <v>45658</v>
      </c>
      <c r="T181" s="1" t="str">
        <f>IF(ISNUMBER(表1[[#This Row],[Last Seen]]),"日期正确","需要清洗")</f>
        <v>日期正确</v>
      </c>
      <c r="U181">
        <v>35</v>
      </c>
      <c r="V181" s="1" t="str">
        <f>IF(OR(表1[[#This Row],[Keyword Difficulty]]&lt;0,表1[[#This Row],[Keyword Difficulty]]&gt;100),"异常","正常")</f>
        <v>正常</v>
      </c>
    </row>
    <row r="182" spans="1:22" x14ac:dyDescent="0.2">
      <c r="A182" t="s">
        <v>37</v>
      </c>
      <c r="B182" t="s">
        <v>184</v>
      </c>
      <c r="C182" s="1" t="str">
        <f>LOWER(CLEAN(TRIM(表1[[#This Row],[Keyword]])))</f>
        <v>how to prepare for pmp certification</v>
      </c>
      <c r="D182" s="1" t="str">
        <f>IF(COUNTIF(表1[Keyword_Clean],表1[[#This Row],[Keyword_Clean]])&gt;1,"唯一","重复")</f>
        <v>唯一</v>
      </c>
      <c r="E182">
        <v>5</v>
      </c>
      <c r="F182" t="str">
        <f>IF(OR(表1[[#This Row],[Position]]="",表1[[#This Row],[Position]]&lt;=0),"异常/空","正常")</f>
        <v>正常</v>
      </c>
      <c r="G182">
        <v>5</v>
      </c>
      <c r="H182">
        <v>110</v>
      </c>
      <c r="I182">
        <v>3.07</v>
      </c>
      <c r="J182">
        <v>0</v>
      </c>
      <c r="K182">
        <v>0</v>
      </c>
      <c r="L182" t="str">
        <f>IF(OR(表1[[#This Row],[Traffic (%)]]&gt;=0,表1[[#This Row],[Traffic (%)]]&lt;=100),"正常","异常")</f>
        <v>正常</v>
      </c>
      <c r="M182">
        <v>0</v>
      </c>
      <c r="N182">
        <v>0</v>
      </c>
      <c r="O182">
        <v>0.4</v>
      </c>
      <c r="P182" t="str">
        <f>IF(OR(表1[[#This Row],[Competition]]&lt;0,表1[[#This Row],[Competition]]&gt;1),"异常","正常")</f>
        <v>正常</v>
      </c>
      <c r="Q182">
        <v>10200000</v>
      </c>
      <c r="R182" t="s">
        <v>185</v>
      </c>
      <c r="S182" s="1">
        <v>45670</v>
      </c>
      <c r="T182" s="1" t="str">
        <f>IF(ISNUMBER(表1[[#This Row],[Last Seen]]),"日期正确","需要清洗")</f>
        <v>日期正确</v>
      </c>
      <c r="U182">
        <v>33</v>
      </c>
      <c r="V182" s="1" t="str">
        <f>IF(OR(表1[[#This Row],[Keyword Difficulty]]&lt;0,表1[[#This Row],[Keyword Difficulty]]&gt;100),"异常","正常")</f>
        <v>正常</v>
      </c>
    </row>
    <row r="183" spans="1:22" x14ac:dyDescent="0.2">
      <c r="A183" t="s">
        <v>15</v>
      </c>
      <c r="B183" t="s">
        <v>404</v>
      </c>
      <c r="C183" s="1" t="str">
        <f>LOWER(CLEAN(TRIM(表1[[#This Row],[Keyword]])))</f>
        <v>what is the cost of pmp exam</v>
      </c>
      <c r="D183" s="1" t="str">
        <f>IF(COUNTIF(表1[Keyword_Clean],表1[[#This Row],[Keyword_Clean]])&gt;1,"唯一","重复")</f>
        <v>重复</v>
      </c>
      <c r="E183">
        <v>4</v>
      </c>
      <c r="F183" t="str">
        <f>IF(OR(表1[[#This Row],[Position]]="",表1[[#This Row],[Position]]&lt;=0),"异常/空","正常")</f>
        <v>正常</v>
      </c>
      <c r="G183">
        <v>4</v>
      </c>
      <c r="H183">
        <v>40</v>
      </c>
      <c r="I183">
        <v>2.1800000000000002</v>
      </c>
      <c r="J183">
        <v>0</v>
      </c>
      <c r="K183">
        <v>0</v>
      </c>
      <c r="L183" t="str">
        <f>IF(OR(表1[[#This Row],[Traffic (%)]]&gt;=0,表1[[#This Row],[Traffic (%)]]&lt;=100),"正常","异常")</f>
        <v>正常</v>
      </c>
      <c r="M183">
        <v>0</v>
      </c>
      <c r="N183">
        <v>0</v>
      </c>
      <c r="O183">
        <v>0.4</v>
      </c>
      <c r="P183" t="str">
        <f>IF(OR(表1[[#This Row],[Competition]]&lt;0,表1[[#This Row],[Competition]]&gt;1),"异常","正常")</f>
        <v>正常</v>
      </c>
      <c r="Q183">
        <v>4420000</v>
      </c>
      <c r="R183" t="s">
        <v>405</v>
      </c>
      <c r="S183" s="1">
        <v>45681</v>
      </c>
      <c r="T183" s="1" t="str">
        <f>IF(ISNUMBER(表1[[#This Row],[Last Seen]]),"日期正确","需要清洗")</f>
        <v>日期正确</v>
      </c>
      <c r="U183">
        <v>34</v>
      </c>
      <c r="V183" s="1" t="str">
        <f>IF(OR(表1[[#This Row],[Keyword Difficulty]]&lt;0,表1[[#This Row],[Keyword Difficulty]]&gt;100),"异常","正常")</f>
        <v>正常</v>
      </c>
    </row>
    <row r="184" spans="1:22" x14ac:dyDescent="0.2">
      <c r="A184" t="s">
        <v>406</v>
      </c>
      <c r="B184" t="s">
        <v>407</v>
      </c>
      <c r="C184" s="1" t="str">
        <f>LOWER(CLEAN(TRIM(表1[[#This Row],[Keyword]])))</f>
        <v>itil 4 foundation course</v>
      </c>
      <c r="D184" s="1" t="str">
        <f>IF(COUNTIF(表1[Keyword_Clean],表1[[#This Row],[Keyword_Clean]])&gt;1,"唯一","重复")</f>
        <v>重复</v>
      </c>
      <c r="E184">
        <v>3</v>
      </c>
      <c r="F184" t="str">
        <f>IF(OR(表1[[#This Row],[Position]]="",表1[[#This Row],[Position]]&lt;=0),"异常/空","正常")</f>
        <v>正常</v>
      </c>
      <c r="G184">
        <v>3</v>
      </c>
      <c r="H184">
        <v>70</v>
      </c>
      <c r="I184">
        <v>4.7</v>
      </c>
      <c r="J184">
        <v>0</v>
      </c>
      <c r="K184">
        <v>0</v>
      </c>
      <c r="L184" t="str">
        <f>IF(OR(表1[[#This Row],[Traffic (%)]]&gt;=0,表1[[#This Row],[Traffic (%)]]&lt;=100),"正常","异常")</f>
        <v>正常</v>
      </c>
      <c r="M184">
        <v>0</v>
      </c>
      <c r="N184">
        <v>0</v>
      </c>
      <c r="O184">
        <v>0.35</v>
      </c>
      <c r="P184" t="str">
        <f>IF(OR(表1[[#This Row],[Competition]]&lt;0,表1[[#This Row],[Competition]]&gt;1),"异常","正常")</f>
        <v>正常</v>
      </c>
      <c r="Q184">
        <v>6040000</v>
      </c>
      <c r="R184" t="s">
        <v>408</v>
      </c>
      <c r="S184" s="1">
        <v>45680</v>
      </c>
      <c r="T184" s="1" t="str">
        <f>IF(ISNUMBER(表1[[#This Row],[Last Seen]]),"日期正确","需要清洗")</f>
        <v>日期正确</v>
      </c>
      <c r="U184">
        <v>46</v>
      </c>
      <c r="V184" s="1" t="str">
        <f>IF(OR(表1[[#This Row],[Keyword Difficulty]]&lt;0,表1[[#This Row],[Keyword Difficulty]]&gt;100),"异常","正常")</f>
        <v>正常</v>
      </c>
    </row>
    <row r="185" spans="1:22" x14ac:dyDescent="0.2">
      <c r="A185" t="s">
        <v>245</v>
      </c>
      <c r="B185" t="s">
        <v>409</v>
      </c>
      <c r="C185" s="1" t="str">
        <f>LOWER(CLEAN(TRIM(表1[[#This Row],[Keyword]])))</f>
        <v>pmp certification online course</v>
      </c>
      <c r="D185" s="1" t="str">
        <f>IF(COUNTIF(表1[Keyword_Clean],表1[[#This Row],[Keyword_Clean]])&gt;1,"唯一","重复")</f>
        <v>重复</v>
      </c>
      <c r="E185">
        <v>6</v>
      </c>
      <c r="F185" t="str">
        <f>IF(OR(表1[[#This Row],[Position]]="",表1[[#This Row],[Position]]&lt;=0),"异常/空","正常")</f>
        <v>正常</v>
      </c>
      <c r="G185">
        <v>6</v>
      </c>
      <c r="H185">
        <v>170</v>
      </c>
      <c r="I185">
        <v>9.7799999999999994</v>
      </c>
      <c r="J185">
        <v>0</v>
      </c>
      <c r="K185">
        <v>0</v>
      </c>
      <c r="L185" t="str">
        <f>IF(OR(表1[[#This Row],[Traffic (%)]]&gt;=0,表1[[#This Row],[Traffic (%)]]&lt;=100),"正常","异常")</f>
        <v>正常</v>
      </c>
      <c r="M185">
        <v>0</v>
      </c>
      <c r="N185">
        <v>0</v>
      </c>
      <c r="O185">
        <v>0.62</v>
      </c>
      <c r="P185" t="str">
        <f>IF(OR(表1[[#This Row],[Competition]]&lt;0,表1[[#This Row],[Competition]]&gt;1),"异常","正常")</f>
        <v>正常</v>
      </c>
      <c r="Q185">
        <v>35200000</v>
      </c>
      <c r="R185" t="s">
        <v>410</v>
      </c>
      <c r="S185" s="1">
        <v>45653</v>
      </c>
      <c r="T185" s="1" t="str">
        <f>IF(ISNUMBER(表1[[#This Row],[Last Seen]]),"日期正确","需要清洗")</f>
        <v>日期正确</v>
      </c>
      <c r="U185">
        <v>59</v>
      </c>
      <c r="V185" s="1" t="str">
        <f>IF(OR(表1[[#This Row],[Keyword Difficulty]]&lt;0,表1[[#This Row],[Keyword Difficulty]]&gt;100),"异常","正常")</f>
        <v>正常</v>
      </c>
    </row>
    <row r="186" spans="1:22" x14ac:dyDescent="0.2">
      <c r="A186" t="s">
        <v>406</v>
      </c>
      <c r="B186" t="s">
        <v>411</v>
      </c>
      <c r="C186" s="1" t="str">
        <f>LOWER(CLEAN(TRIM(表1[[#This Row],[Keyword]])))</f>
        <v>itilv4 foundation</v>
      </c>
      <c r="D186" s="1" t="str">
        <f>IF(COUNTIF(表1[Keyword_Clean],表1[[#This Row],[Keyword_Clean]])&gt;1,"唯一","重复")</f>
        <v>唯一</v>
      </c>
      <c r="E186">
        <v>3</v>
      </c>
      <c r="F186" t="str">
        <f>IF(OR(表1[[#This Row],[Position]]="",表1[[#This Row],[Position]]&lt;=0),"异常/空","正常")</f>
        <v>正常</v>
      </c>
      <c r="G186">
        <v>3</v>
      </c>
      <c r="H186">
        <v>30</v>
      </c>
      <c r="I186">
        <v>3.54</v>
      </c>
      <c r="J186">
        <v>0</v>
      </c>
      <c r="K186">
        <v>0</v>
      </c>
      <c r="L186" t="str">
        <f>IF(OR(表1[[#This Row],[Traffic (%)]]&gt;=0,表1[[#This Row],[Traffic (%)]]&lt;=100),"正常","异常")</f>
        <v>正常</v>
      </c>
      <c r="M186">
        <v>0</v>
      </c>
      <c r="N186">
        <v>0</v>
      </c>
      <c r="O186">
        <v>0.43</v>
      </c>
      <c r="P186" t="str">
        <f>IF(OR(表1[[#This Row],[Competition]]&lt;0,表1[[#This Row],[Competition]]&gt;1),"异常","正常")</f>
        <v>正常</v>
      </c>
      <c r="Q186">
        <v>1190000</v>
      </c>
      <c r="R186" t="s">
        <v>412</v>
      </c>
      <c r="S186" s="1">
        <v>45654</v>
      </c>
      <c r="T186" s="1" t="str">
        <f>IF(ISNUMBER(表1[[#This Row],[Last Seen]]),"日期正确","需要清洗")</f>
        <v>日期正确</v>
      </c>
      <c r="U186">
        <v>35</v>
      </c>
      <c r="V186" s="1" t="str">
        <f>IF(OR(表1[[#This Row],[Keyword Difficulty]]&lt;0,表1[[#This Row],[Keyword Difficulty]]&gt;100),"异常","正常")</f>
        <v>正常</v>
      </c>
    </row>
    <row r="187" spans="1:22" x14ac:dyDescent="0.2">
      <c r="A187" t="s">
        <v>406</v>
      </c>
      <c r="B187" t="s">
        <v>411</v>
      </c>
      <c r="C187" s="1" t="str">
        <f>LOWER(CLEAN(TRIM(表1[[#This Row],[Keyword]])))</f>
        <v>itilv4 foundation</v>
      </c>
      <c r="D187" s="1" t="str">
        <f>IF(COUNTIF(表1[Keyword_Clean],表1[[#This Row],[Keyword_Clean]])&gt;1,"唯一","重复")</f>
        <v>唯一</v>
      </c>
      <c r="E187">
        <v>6</v>
      </c>
      <c r="F187" t="str">
        <f>IF(OR(表1[[#This Row],[Position]]="",表1[[#This Row],[Position]]&lt;=0),"异常/空","正常")</f>
        <v>正常</v>
      </c>
      <c r="G187">
        <v>6</v>
      </c>
      <c r="H187">
        <v>30</v>
      </c>
      <c r="I187">
        <v>3.54</v>
      </c>
      <c r="J187">
        <v>0</v>
      </c>
      <c r="K187">
        <v>0</v>
      </c>
      <c r="L187" t="str">
        <f>IF(OR(表1[[#This Row],[Traffic (%)]]&gt;=0,表1[[#This Row],[Traffic (%)]]&lt;=100),"正常","异常")</f>
        <v>正常</v>
      </c>
      <c r="M187">
        <v>0</v>
      </c>
      <c r="N187">
        <v>0</v>
      </c>
      <c r="O187">
        <v>0.43</v>
      </c>
      <c r="P187" t="str">
        <f>IF(OR(表1[[#This Row],[Competition]]&lt;0,表1[[#This Row],[Competition]]&gt;1),"异常","正常")</f>
        <v>正常</v>
      </c>
      <c r="Q187">
        <v>1190000</v>
      </c>
      <c r="R187" t="s">
        <v>412</v>
      </c>
      <c r="S187" s="1">
        <v>45654</v>
      </c>
      <c r="T187" s="1" t="str">
        <f>IF(ISNUMBER(表1[[#This Row],[Last Seen]]),"日期正确","需要清洗")</f>
        <v>日期正确</v>
      </c>
      <c r="U187">
        <v>35</v>
      </c>
      <c r="V187" s="1" t="str">
        <f>IF(OR(表1[[#This Row],[Keyword Difficulty]]&lt;0,表1[[#This Row],[Keyword Difficulty]]&gt;100),"异常","正常")</f>
        <v>正常</v>
      </c>
    </row>
    <row r="188" spans="1:22" x14ac:dyDescent="0.2">
      <c r="A188" t="s">
        <v>413</v>
      </c>
      <c r="B188" t="s">
        <v>414</v>
      </c>
      <c r="C188" s="1" t="str">
        <f>LOWER(CLEAN(TRIM(表1[[#This Row],[Keyword]])))</f>
        <v>itil foundations training</v>
      </c>
      <c r="D188" s="1" t="str">
        <f>IF(COUNTIF(表1[Keyword_Clean],表1[[#This Row],[Keyword_Clean]])&gt;1,"唯一","重复")</f>
        <v>重复</v>
      </c>
      <c r="E188">
        <v>3</v>
      </c>
      <c r="F188" t="str">
        <f>IF(OR(表1[[#This Row],[Position]]="",表1[[#This Row],[Position]]&lt;=0),"异常/空","正常")</f>
        <v>正常</v>
      </c>
      <c r="G188">
        <v>3</v>
      </c>
      <c r="H188">
        <v>40</v>
      </c>
      <c r="I188">
        <v>6.34</v>
      </c>
      <c r="J188">
        <v>0</v>
      </c>
      <c r="K188">
        <v>0</v>
      </c>
      <c r="L188" t="str">
        <f>IF(OR(表1[[#This Row],[Traffic (%)]]&gt;=0,表1[[#This Row],[Traffic (%)]]&lt;=100),"正常","异常")</f>
        <v>正常</v>
      </c>
      <c r="M188">
        <v>0</v>
      </c>
      <c r="N188">
        <v>0</v>
      </c>
      <c r="O188">
        <v>0.38</v>
      </c>
      <c r="P188" t="str">
        <f>IF(OR(表1[[#This Row],[Competition]]&lt;0,表1[[#This Row],[Competition]]&gt;1),"异常","正常")</f>
        <v>正常</v>
      </c>
      <c r="Q188">
        <v>11500000</v>
      </c>
      <c r="R188" t="s">
        <v>415</v>
      </c>
      <c r="S188" s="1">
        <v>45657</v>
      </c>
      <c r="T188" s="1" t="str">
        <f>IF(ISNUMBER(表1[[#This Row],[Last Seen]]),"日期正确","需要清洗")</f>
        <v>日期正确</v>
      </c>
      <c r="U188">
        <v>32</v>
      </c>
      <c r="V188" s="1" t="str">
        <f>IF(OR(表1[[#This Row],[Keyword Difficulty]]&lt;0,表1[[#This Row],[Keyword Difficulty]]&gt;100),"异常","正常")</f>
        <v>正常</v>
      </c>
    </row>
    <row r="189" spans="1:22" x14ac:dyDescent="0.2">
      <c r="A189" t="s">
        <v>416</v>
      </c>
      <c r="B189" t="s">
        <v>227</v>
      </c>
      <c r="C189" s="1" t="str">
        <f>LOWER(CLEAN(TRIM(表1[[#This Row],[Keyword]])))</f>
        <v>siplilearn</v>
      </c>
      <c r="D189" s="1" t="str">
        <f>IF(COUNTIF(表1[Keyword_Clean],表1[[#This Row],[Keyword_Clean]])&gt;1,"唯一","重复")</f>
        <v>唯一</v>
      </c>
      <c r="E189">
        <v>2</v>
      </c>
      <c r="F189" t="str">
        <f>IF(OR(表1[[#This Row],[Position]]="",表1[[#This Row],[Position]]&lt;=0),"异常/空","正常")</f>
        <v>正常</v>
      </c>
      <c r="G189">
        <v>2</v>
      </c>
      <c r="H189">
        <v>70</v>
      </c>
      <c r="I189">
        <v>1.88</v>
      </c>
      <c r="J189">
        <v>0</v>
      </c>
      <c r="K189">
        <v>0</v>
      </c>
      <c r="L189" t="str">
        <f>IF(OR(表1[[#This Row],[Traffic (%)]]&gt;=0,表1[[#This Row],[Traffic (%)]]&lt;=100),"正常","异常")</f>
        <v>正常</v>
      </c>
      <c r="M189">
        <v>0</v>
      </c>
      <c r="N189">
        <v>0</v>
      </c>
      <c r="O189">
        <v>0.16</v>
      </c>
      <c r="P189" t="str">
        <f>IF(OR(表1[[#This Row],[Competition]]&lt;0,表1[[#This Row],[Competition]]&gt;1),"异常","正常")</f>
        <v>正常</v>
      </c>
      <c r="Q189">
        <v>4790000</v>
      </c>
      <c r="R189" t="s">
        <v>228</v>
      </c>
      <c r="S189" s="1">
        <v>45659</v>
      </c>
      <c r="T189" s="1" t="str">
        <f>IF(ISNUMBER(表1[[#This Row],[Last Seen]]),"日期正确","需要清洗")</f>
        <v>日期正确</v>
      </c>
      <c r="U189">
        <v>38</v>
      </c>
      <c r="V189" s="1" t="str">
        <f>IF(OR(表1[[#This Row],[Keyword Difficulty]]&lt;0,表1[[#This Row],[Keyword Difficulty]]&gt;100),"异常","正常")</f>
        <v>正常</v>
      </c>
    </row>
    <row r="190" spans="1:22" x14ac:dyDescent="0.2">
      <c r="A190" t="s">
        <v>36</v>
      </c>
      <c r="B190" t="s">
        <v>232</v>
      </c>
      <c r="C190" s="1" t="str">
        <f>LOWER(CLEAN(TRIM(表1[[#This Row],[Keyword]])))</f>
        <v>simplielearn</v>
      </c>
      <c r="D190" s="1" t="str">
        <f>IF(COUNTIF(表1[Keyword_Clean],表1[[#This Row],[Keyword_Clean]])&gt;1,"唯一","重复")</f>
        <v>唯一</v>
      </c>
      <c r="E190">
        <v>2</v>
      </c>
      <c r="F190" t="str">
        <f>IF(OR(表1[[#This Row],[Position]]="",表1[[#This Row],[Position]]&lt;=0),"异常/空","正常")</f>
        <v>正常</v>
      </c>
      <c r="G190">
        <v>2</v>
      </c>
      <c r="H190">
        <v>70</v>
      </c>
      <c r="I190">
        <v>1.88</v>
      </c>
      <c r="J190">
        <v>0</v>
      </c>
      <c r="K190">
        <v>0</v>
      </c>
      <c r="L190" t="str">
        <f>IF(OR(表1[[#This Row],[Traffic (%)]]&gt;=0,表1[[#This Row],[Traffic (%)]]&lt;=100),"正常","异常")</f>
        <v>正常</v>
      </c>
      <c r="M190">
        <v>0</v>
      </c>
      <c r="N190">
        <v>0</v>
      </c>
      <c r="O190">
        <v>0.16</v>
      </c>
      <c r="P190" t="str">
        <f>IF(OR(表1[[#This Row],[Competition]]&lt;0,表1[[#This Row],[Competition]]&gt;1),"异常","正常")</f>
        <v>正常</v>
      </c>
      <c r="Q190">
        <v>4820000</v>
      </c>
      <c r="R190" t="s">
        <v>417</v>
      </c>
      <c r="S190" s="1">
        <v>45655</v>
      </c>
      <c r="T190" s="1" t="str">
        <f>IF(ISNUMBER(表1[[#This Row],[Last Seen]]),"日期正确","需要清洗")</f>
        <v>日期正确</v>
      </c>
      <c r="U190">
        <v>44</v>
      </c>
      <c r="V190" s="1" t="str">
        <f>IF(OR(表1[[#This Row],[Keyword Difficulty]]&lt;0,表1[[#This Row],[Keyword Difficulty]]&gt;100),"异常","正常")</f>
        <v>正常</v>
      </c>
    </row>
    <row r="191" spans="1:22" x14ac:dyDescent="0.2">
      <c r="A191" t="s">
        <v>418</v>
      </c>
      <c r="B191" t="s">
        <v>419</v>
      </c>
      <c r="C191" s="1" t="str">
        <f>LOWER(CLEAN(TRIM(表1[[#This Row],[Keyword]])))</f>
        <v>knowledgehut cspo</v>
      </c>
      <c r="D191" s="1" t="str">
        <f>IF(COUNTIF(表1[Keyword_Clean],表1[[#This Row],[Keyword_Clean]])&gt;1,"唯一","重复")</f>
        <v>重复</v>
      </c>
      <c r="E191">
        <v>2</v>
      </c>
      <c r="F191" t="str">
        <f>IF(OR(表1[[#This Row],[Position]]="",表1[[#This Row],[Position]]&lt;=0),"异常/空","正常")</f>
        <v>正常</v>
      </c>
      <c r="G191">
        <v>2</v>
      </c>
      <c r="H191">
        <v>30</v>
      </c>
      <c r="I191">
        <v>46.86</v>
      </c>
      <c r="J191">
        <v>0</v>
      </c>
      <c r="K191">
        <v>0</v>
      </c>
      <c r="L191" t="str">
        <f>IF(OR(表1[[#This Row],[Traffic (%)]]&gt;=0,表1[[#This Row],[Traffic (%)]]&lt;=100),"正常","异常")</f>
        <v>正常</v>
      </c>
      <c r="M191">
        <v>0</v>
      </c>
      <c r="N191">
        <v>0</v>
      </c>
      <c r="O191">
        <v>0.23</v>
      </c>
      <c r="P191" t="str">
        <f>IF(OR(表1[[#This Row],[Competition]]&lt;0,表1[[#This Row],[Competition]]&gt;1),"异常","正常")</f>
        <v>正常</v>
      </c>
      <c r="Q191">
        <v>54</v>
      </c>
      <c r="R191" t="s">
        <v>420</v>
      </c>
      <c r="S191" s="1">
        <v>45657</v>
      </c>
      <c r="T191" s="1" t="str">
        <f>IF(ISNUMBER(表1[[#This Row],[Last Seen]]),"日期正确","需要清洗")</f>
        <v>日期正确</v>
      </c>
      <c r="U191">
        <v>14</v>
      </c>
      <c r="V191" s="1" t="str">
        <f>IF(OR(表1[[#This Row],[Keyword Difficulty]]&lt;0,表1[[#This Row],[Keyword Difficulty]]&gt;100),"异常","正常")</f>
        <v>正常</v>
      </c>
    </row>
    <row r="192" spans="1:22" x14ac:dyDescent="0.2">
      <c r="A192" t="s">
        <v>282</v>
      </c>
      <c r="B192" t="s">
        <v>421</v>
      </c>
      <c r="C192" s="1" t="str">
        <f>LOWER(CLEAN(TRIM(表1[[#This Row],[Keyword]])))</f>
        <v>capm training classes</v>
      </c>
      <c r="D192" s="1" t="str">
        <f>IF(COUNTIF(表1[Keyword_Clean],表1[[#This Row],[Keyword_Clean]])&gt;1,"唯一","重复")</f>
        <v>重复</v>
      </c>
      <c r="E192">
        <v>2</v>
      </c>
      <c r="F192" t="str">
        <f>IF(OR(表1[[#This Row],[Position]]="",表1[[#This Row],[Position]]&lt;=0),"异常/空","正常")</f>
        <v>正常</v>
      </c>
      <c r="G192">
        <v>2</v>
      </c>
      <c r="H192">
        <v>70</v>
      </c>
      <c r="I192">
        <v>5.62</v>
      </c>
      <c r="J192">
        <v>0</v>
      </c>
      <c r="K192">
        <v>0</v>
      </c>
      <c r="L192" t="str">
        <f>IF(OR(表1[[#This Row],[Traffic (%)]]&gt;=0,表1[[#This Row],[Traffic (%)]]&lt;=100),"正常","异常")</f>
        <v>正常</v>
      </c>
      <c r="M192">
        <v>0</v>
      </c>
      <c r="N192">
        <v>0</v>
      </c>
      <c r="O192">
        <v>0.4</v>
      </c>
      <c r="P192" t="str">
        <f>IF(OR(表1[[#This Row],[Competition]]&lt;0,表1[[#This Row],[Competition]]&gt;1),"异常","正常")</f>
        <v>正常</v>
      </c>
      <c r="Q192">
        <v>952000</v>
      </c>
      <c r="R192" t="s">
        <v>422</v>
      </c>
      <c r="S192" s="1">
        <v>45673</v>
      </c>
      <c r="T192" s="1" t="str">
        <f>IF(ISNUMBER(表1[[#This Row],[Last Seen]]),"日期正确","需要清洗")</f>
        <v>日期正确</v>
      </c>
      <c r="U192">
        <v>39</v>
      </c>
      <c r="V192" s="1" t="str">
        <f>IF(OR(表1[[#This Row],[Keyword Difficulty]]&lt;0,表1[[#This Row],[Keyword Difficulty]]&gt;100),"异常","正常")</f>
        <v>正常</v>
      </c>
    </row>
    <row r="193" spans="1:22" x14ac:dyDescent="0.2">
      <c r="A193" t="s">
        <v>423</v>
      </c>
      <c r="B193" t="s">
        <v>424</v>
      </c>
      <c r="C193" s="1" t="str">
        <f>LOWER(CLEAN(TRIM(表1[[#This Row],[Keyword]])))</f>
        <v>agile certified scrum master</v>
      </c>
      <c r="D193" s="1" t="str">
        <f>IF(COUNTIF(表1[Keyword_Clean],表1[[#This Row],[Keyword_Clean]])&gt;1,"唯一","重复")</f>
        <v>重复</v>
      </c>
      <c r="E193">
        <v>3</v>
      </c>
      <c r="F193" t="str">
        <f>IF(OR(表1[[#This Row],[Position]]="",表1[[#This Row],[Position]]&lt;=0),"异常/空","正常")</f>
        <v>正常</v>
      </c>
      <c r="G193">
        <v>3</v>
      </c>
      <c r="H193">
        <v>90</v>
      </c>
      <c r="I193">
        <v>3.19</v>
      </c>
      <c r="J193">
        <v>0</v>
      </c>
      <c r="K193">
        <v>0</v>
      </c>
      <c r="L193" t="str">
        <f>IF(OR(表1[[#This Row],[Traffic (%)]]&gt;=0,表1[[#This Row],[Traffic (%)]]&lt;=100),"正常","异常")</f>
        <v>正常</v>
      </c>
      <c r="M193">
        <v>0</v>
      </c>
      <c r="N193">
        <v>0</v>
      </c>
      <c r="O193">
        <v>0.51</v>
      </c>
      <c r="P193" t="str">
        <f>IF(OR(表1[[#This Row],[Competition]]&lt;0,表1[[#This Row],[Competition]]&gt;1),"异常","正常")</f>
        <v>正常</v>
      </c>
      <c r="Q193">
        <v>16100000</v>
      </c>
      <c r="R193" t="s">
        <v>425</v>
      </c>
      <c r="S193" s="1">
        <v>45657</v>
      </c>
      <c r="T193" s="1" t="str">
        <f>IF(ISNUMBER(表1[[#This Row],[Last Seen]]),"日期正确","需要清洗")</f>
        <v>日期正确</v>
      </c>
      <c r="U193">
        <v>67</v>
      </c>
      <c r="V193" s="1" t="str">
        <f>IF(OR(表1[[#This Row],[Keyword Difficulty]]&lt;0,表1[[#This Row],[Keyword Difficulty]]&gt;100),"异常","正常")</f>
        <v>正常</v>
      </c>
    </row>
    <row r="194" spans="1:22" x14ac:dyDescent="0.2">
      <c r="A194" t="s">
        <v>66</v>
      </c>
      <c r="B194" t="s">
        <v>426</v>
      </c>
      <c r="C194" s="1" t="str">
        <f>LOWER(CLEAN(TRIM(表1[[#This Row],[Keyword]])))</f>
        <v>simplilearn generative ai</v>
      </c>
      <c r="D194" s="1" t="str">
        <f>IF(COUNTIF(表1[Keyword_Clean],表1[[#This Row],[Keyword_Clean]])&gt;1,"唯一","重复")</f>
        <v>重复</v>
      </c>
      <c r="E194">
        <v>3</v>
      </c>
      <c r="F194" t="str">
        <f>IF(OR(表1[[#This Row],[Position]]="",表1[[#This Row],[Position]]&lt;=0),"异常/空","正常")</f>
        <v>正常</v>
      </c>
      <c r="G194">
        <v>3</v>
      </c>
      <c r="H194">
        <v>30</v>
      </c>
      <c r="I194">
        <v>7.87</v>
      </c>
      <c r="J194">
        <v>0</v>
      </c>
      <c r="K194">
        <v>0</v>
      </c>
      <c r="L194" t="str">
        <f>IF(OR(表1[[#This Row],[Traffic (%)]]&gt;=0,表1[[#This Row],[Traffic (%)]]&lt;=100),"正常","异常")</f>
        <v>正常</v>
      </c>
      <c r="M194">
        <v>0</v>
      </c>
      <c r="N194">
        <v>0</v>
      </c>
      <c r="O194">
        <v>0.85</v>
      </c>
      <c r="P194" t="str">
        <f>IF(OR(表1[[#This Row],[Competition]]&lt;0,表1[[#This Row],[Competition]]&gt;1),"异常","正常")</f>
        <v>正常</v>
      </c>
      <c r="Q194">
        <v>568000</v>
      </c>
      <c r="R194" t="s">
        <v>333</v>
      </c>
      <c r="S194" s="1">
        <v>45662</v>
      </c>
      <c r="T194" s="1" t="str">
        <f>IF(ISNUMBER(表1[[#This Row],[Last Seen]]),"日期正确","需要清洗")</f>
        <v>日期正确</v>
      </c>
      <c r="U194">
        <v>41</v>
      </c>
      <c r="V194" s="1" t="str">
        <f>IF(OR(表1[[#This Row],[Keyword Difficulty]]&lt;0,表1[[#This Row],[Keyword Difficulty]]&gt;100),"异常","正常")</f>
        <v>正常</v>
      </c>
    </row>
    <row r="195" spans="1:22" x14ac:dyDescent="0.2">
      <c r="A195" t="s">
        <v>90</v>
      </c>
      <c r="B195" t="s">
        <v>427</v>
      </c>
      <c r="C195" s="1" t="str">
        <f>LOWER(CLEAN(TRIM(表1[[#This Row],[Keyword]])))</f>
        <v>pmp certificering</v>
      </c>
      <c r="D195" s="1" t="str">
        <f>IF(COUNTIF(表1[Keyword_Clean],表1[[#This Row],[Keyword_Clean]])&gt;1,"唯一","重复")</f>
        <v>重复</v>
      </c>
      <c r="E195">
        <v>6</v>
      </c>
      <c r="F195" t="str">
        <f>IF(OR(表1[[#This Row],[Position]]="",表1[[#This Row],[Position]]&lt;=0),"异常/空","正常")</f>
        <v>正常</v>
      </c>
      <c r="G195">
        <v>6</v>
      </c>
      <c r="H195">
        <v>30</v>
      </c>
      <c r="I195">
        <v>3.77</v>
      </c>
      <c r="J195">
        <v>0</v>
      </c>
      <c r="K195">
        <v>0</v>
      </c>
      <c r="L195" t="str">
        <f>IF(OR(表1[[#This Row],[Traffic (%)]]&gt;=0,表1[[#This Row],[Traffic (%)]]&lt;=100),"正常","异常")</f>
        <v>正常</v>
      </c>
      <c r="M195">
        <v>0</v>
      </c>
      <c r="N195">
        <v>0</v>
      </c>
      <c r="O195">
        <v>0.19</v>
      </c>
      <c r="P195" t="str">
        <f>IF(OR(表1[[#This Row],[Competition]]&lt;0,表1[[#This Row],[Competition]]&gt;1),"异常","正常")</f>
        <v>正常</v>
      </c>
      <c r="Q195">
        <v>29700</v>
      </c>
      <c r="R195" t="s">
        <v>428</v>
      </c>
      <c r="S195" s="1">
        <v>45657</v>
      </c>
      <c r="T195" s="1" t="str">
        <f>IF(ISNUMBER(表1[[#This Row],[Last Seen]]),"日期正确","需要清洗")</f>
        <v>日期正确</v>
      </c>
      <c r="U195">
        <v>66</v>
      </c>
      <c r="V195" s="1" t="str">
        <f>IF(OR(表1[[#This Row],[Keyword Difficulty]]&lt;0,表1[[#This Row],[Keyword Difficulty]]&gt;100),"异常","正常")</f>
        <v>正常</v>
      </c>
    </row>
    <row r="196" spans="1:22" x14ac:dyDescent="0.2">
      <c r="A196" t="s">
        <v>429</v>
      </c>
      <c r="B196" t="s">
        <v>430</v>
      </c>
      <c r="C196" s="1" t="str">
        <f>LOWER(CLEAN(TRIM(表1[[#This Row],[Keyword]])))</f>
        <v>pmp certification 35 hours online training</v>
      </c>
      <c r="D196" s="1" t="str">
        <f>IF(COUNTIF(表1[Keyword_Clean],表1[[#This Row],[Keyword_Clean]])&gt;1,"唯一","重复")</f>
        <v>重复</v>
      </c>
      <c r="E196">
        <v>4</v>
      </c>
      <c r="F196" t="str">
        <f>IF(OR(表1[[#This Row],[Position]]="",表1[[#This Row],[Position]]&lt;=0),"异常/空","正常")</f>
        <v>正常</v>
      </c>
      <c r="G196">
        <v>4</v>
      </c>
      <c r="H196">
        <v>40</v>
      </c>
      <c r="I196">
        <v>7.75</v>
      </c>
      <c r="J196">
        <v>0</v>
      </c>
      <c r="K196">
        <v>0</v>
      </c>
      <c r="L196" t="str">
        <f>IF(OR(表1[[#This Row],[Traffic (%)]]&gt;=0,表1[[#This Row],[Traffic (%)]]&lt;=100),"正常","异常")</f>
        <v>正常</v>
      </c>
      <c r="M196">
        <v>0</v>
      </c>
      <c r="N196">
        <v>0</v>
      </c>
      <c r="O196">
        <v>0.61</v>
      </c>
      <c r="P196" t="str">
        <f>IF(OR(表1[[#This Row],[Competition]]&lt;0,表1[[#This Row],[Competition]]&gt;1),"异常","正常")</f>
        <v>正常</v>
      </c>
      <c r="Q196">
        <v>28500000</v>
      </c>
      <c r="R196" t="s">
        <v>431</v>
      </c>
      <c r="S196" s="1">
        <v>45657</v>
      </c>
      <c r="T196" s="1" t="str">
        <f>IF(ISNUMBER(表1[[#This Row],[Last Seen]]),"日期正确","需要清洗")</f>
        <v>日期正确</v>
      </c>
      <c r="U196">
        <v>31</v>
      </c>
      <c r="V196" s="1" t="str">
        <f>IF(OR(表1[[#This Row],[Keyword Difficulty]]&lt;0,表1[[#This Row],[Keyword Difficulty]]&gt;100),"异常","正常")</f>
        <v>正常</v>
      </c>
    </row>
    <row r="197" spans="1:22" x14ac:dyDescent="0.2">
      <c r="A197" t="s">
        <v>157</v>
      </c>
      <c r="B197" t="s">
        <v>432</v>
      </c>
      <c r="C197" s="1" t="str">
        <f>LOWER(CLEAN(TRIM(表1[[#This Row],[Keyword]])))</f>
        <v>scrum alliance csm certification cost</v>
      </c>
      <c r="D197" s="1" t="str">
        <f>IF(COUNTIF(表1[Keyword_Clean],表1[[#This Row],[Keyword_Clean]])&gt;1,"唯一","重复")</f>
        <v>重复</v>
      </c>
      <c r="E197">
        <v>4</v>
      </c>
      <c r="F197" t="str">
        <f>IF(OR(表1[[#This Row],[Position]]="",表1[[#This Row],[Position]]&lt;=0),"异常/空","正常")</f>
        <v>正常</v>
      </c>
      <c r="G197">
        <v>4</v>
      </c>
      <c r="H197">
        <v>90</v>
      </c>
      <c r="I197">
        <v>2.62</v>
      </c>
      <c r="J197">
        <v>0</v>
      </c>
      <c r="K197">
        <v>0</v>
      </c>
      <c r="L197" t="str">
        <f>IF(OR(表1[[#This Row],[Traffic (%)]]&gt;=0,表1[[#This Row],[Traffic (%)]]&lt;=100),"正常","异常")</f>
        <v>正常</v>
      </c>
      <c r="M197">
        <v>0</v>
      </c>
      <c r="N197">
        <v>0</v>
      </c>
      <c r="O197">
        <v>0.39</v>
      </c>
      <c r="P197" t="str">
        <f>IF(OR(表1[[#This Row],[Competition]]&lt;0,表1[[#This Row],[Competition]]&gt;1),"异常","正常")</f>
        <v>正常</v>
      </c>
      <c r="Q197">
        <v>512000</v>
      </c>
      <c r="R197" t="s">
        <v>433</v>
      </c>
      <c r="S197" s="1">
        <v>45673</v>
      </c>
      <c r="T197" s="1" t="str">
        <f>IF(ISNUMBER(表1[[#This Row],[Last Seen]]),"日期正确","需要清洗")</f>
        <v>日期正确</v>
      </c>
      <c r="U197">
        <v>47</v>
      </c>
      <c r="V197" s="1" t="str">
        <f>IF(OR(表1[[#This Row],[Keyword Difficulty]]&lt;0,表1[[#This Row],[Keyword Difficulty]]&gt;100),"异常","正常")</f>
        <v>正常</v>
      </c>
    </row>
    <row r="198" spans="1:22" x14ac:dyDescent="0.2">
      <c r="A198" t="s">
        <v>37</v>
      </c>
      <c r="B198" t="s">
        <v>434</v>
      </c>
      <c r="C198" s="1" t="str">
        <f>LOWER(CLEAN(TRIM(表1[[#This Row],[Keyword]])))</f>
        <v>duration of pmp course</v>
      </c>
      <c r="D198" s="1" t="str">
        <f>IF(COUNTIF(表1[Keyword_Clean],表1[[#This Row],[Keyword_Clean]])&gt;1,"唯一","重复")</f>
        <v>重复</v>
      </c>
      <c r="E198">
        <v>2</v>
      </c>
      <c r="F198" t="str">
        <f>IF(OR(表1[[#This Row],[Position]]="",表1[[#This Row],[Position]]&lt;=0),"异常/空","正常")</f>
        <v>正常</v>
      </c>
      <c r="G198">
        <v>2</v>
      </c>
      <c r="H198">
        <v>50</v>
      </c>
      <c r="I198">
        <v>2.61</v>
      </c>
      <c r="J198">
        <v>0</v>
      </c>
      <c r="K198">
        <v>0</v>
      </c>
      <c r="L198" t="str">
        <f>IF(OR(表1[[#This Row],[Traffic (%)]]&gt;=0,表1[[#This Row],[Traffic (%)]]&lt;=100),"正常","异常")</f>
        <v>正常</v>
      </c>
      <c r="M198">
        <v>0</v>
      </c>
      <c r="N198">
        <v>0</v>
      </c>
      <c r="O198">
        <v>0.24</v>
      </c>
      <c r="P198" t="str">
        <f>IF(OR(表1[[#This Row],[Competition]]&lt;0,表1[[#This Row],[Competition]]&gt;1),"异常","正常")</f>
        <v>正常</v>
      </c>
      <c r="Q198">
        <v>21900000</v>
      </c>
      <c r="R198" t="s">
        <v>435</v>
      </c>
      <c r="S198" s="1">
        <v>45679</v>
      </c>
      <c r="T198" s="1" t="str">
        <f>IF(ISNUMBER(表1[[#This Row],[Last Seen]]),"日期正确","需要清洗")</f>
        <v>日期正确</v>
      </c>
      <c r="U198">
        <v>46</v>
      </c>
      <c r="V198" s="1" t="str">
        <f>IF(OR(表1[[#This Row],[Keyword Difficulty]]&lt;0,表1[[#This Row],[Keyword Difficulty]]&gt;100),"异常","正常")</f>
        <v>正常</v>
      </c>
    </row>
    <row r="199" spans="1:22" x14ac:dyDescent="0.2">
      <c r="A199" t="s">
        <v>436</v>
      </c>
      <c r="B199" t="s">
        <v>437</v>
      </c>
      <c r="C199" s="1" t="str">
        <f>LOWER(CLEAN(TRIM(表1[[#This Row],[Keyword]])))</f>
        <v>togaf certification price</v>
      </c>
      <c r="D199" s="1" t="str">
        <f>IF(COUNTIF(表1[Keyword_Clean],表1[[#This Row],[Keyword_Clean]])&gt;1,"唯一","重复")</f>
        <v>重复</v>
      </c>
      <c r="E199">
        <v>4</v>
      </c>
      <c r="F199" t="str">
        <f>IF(OR(表1[[#This Row],[Position]]="",表1[[#This Row],[Position]]&lt;=0),"异常/空","正常")</f>
        <v>正常</v>
      </c>
      <c r="G199">
        <v>4</v>
      </c>
      <c r="H199">
        <v>30</v>
      </c>
      <c r="I199">
        <v>1.94</v>
      </c>
      <c r="J199">
        <v>0</v>
      </c>
      <c r="K199">
        <v>0</v>
      </c>
      <c r="L199" t="str">
        <f>IF(OR(表1[[#This Row],[Traffic (%)]]&gt;=0,表1[[#This Row],[Traffic (%)]]&lt;=100),"正常","异常")</f>
        <v>正常</v>
      </c>
      <c r="M199">
        <v>0</v>
      </c>
      <c r="N199">
        <v>0</v>
      </c>
      <c r="O199">
        <v>0.3</v>
      </c>
      <c r="P199" t="str">
        <f>IF(OR(表1[[#This Row],[Competition]]&lt;0,表1[[#This Row],[Competition]]&gt;1),"异常","正常")</f>
        <v>正常</v>
      </c>
      <c r="Q199">
        <v>384000</v>
      </c>
      <c r="R199" t="s">
        <v>438</v>
      </c>
      <c r="S199" s="1">
        <v>45670</v>
      </c>
      <c r="T199" s="1" t="str">
        <f>IF(ISNUMBER(表1[[#This Row],[Last Seen]]),"日期正确","需要清洗")</f>
        <v>日期正确</v>
      </c>
      <c r="U199">
        <v>24</v>
      </c>
      <c r="V199" s="1" t="str">
        <f>IF(OR(表1[[#This Row],[Keyword Difficulty]]&lt;0,表1[[#This Row],[Keyword Difficulty]]&gt;100),"异常","正常")</f>
        <v>正常</v>
      </c>
    </row>
    <row r="200" spans="1:22" x14ac:dyDescent="0.2">
      <c r="A200" t="s">
        <v>439</v>
      </c>
      <c r="B200" t="s">
        <v>440</v>
      </c>
      <c r="C200" s="1" t="str">
        <f>LOWER(CLEAN(TRIM(表1[[#This Row],[Keyword]])))</f>
        <v>itil foundation test</v>
      </c>
      <c r="D200" s="1" t="str">
        <f>IF(COUNTIF(表1[Keyword_Clean],表1[[#This Row],[Keyword_Clean]])&gt;1,"唯一","重复")</f>
        <v>重复</v>
      </c>
      <c r="E200">
        <v>2</v>
      </c>
      <c r="F200" t="str">
        <f>IF(OR(表1[[#This Row],[Position]]="",表1[[#This Row],[Position]]&lt;=0),"异常/空","正常")</f>
        <v>正常</v>
      </c>
      <c r="G200">
        <v>2</v>
      </c>
      <c r="H200">
        <v>50</v>
      </c>
      <c r="I200">
        <v>2.4900000000000002</v>
      </c>
      <c r="J200">
        <v>0</v>
      </c>
      <c r="K200">
        <v>0</v>
      </c>
      <c r="L200" t="str">
        <f>IF(OR(表1[[#This Row],[Traffic (%)]]&gt;=0,表1[[#This Row],[Traffic (%)]]&lt;=100),"正常","异常")</f>
        <v>正常</v>
      </c>
      <c r="M200">
        <v>0</v>
      </c>
      <c r="N200">
        <v>0</v>
      </c>
      <c r="O200">
        <v>0.53</v>
      </c>
      <c r="P200" t="str">
        <f>IF(OR(表1[[#This Row],[Competition]]&lt;0,表1[[#This Row],[Competition]]&gt;1),"异常","正常")</f>
        <v>正常</v>
      </c>
      <c r="Q200">
        <v>4550000</v>
      </c>
      <c r="R200" t="s">
        <v>441</v>
      </c>
      <c r="S200" s="1">
        <v>45680</v>
      </c>
      <c r="T200" s="1" t="str">
        <f>IF(ISNUMBER(表1[[#This Row],[Last Seen]]),"日期正确","需要清洗")</f>
        <v>日期正确</v>
      </c>
      <c r="U200">
        <v>30</v>
      </c>
      <c r="V200" s="1" t="str">
        <f>IF(OR(表1[[#This Row],[Keyword Difficulty]]&lt;0,表1[[#This Row],[Keyword Difficulty]]&gt;100),"异常","正常")</f>
        <v>正常</v>
      </c>
    </row>
  </sheetData>
  <phoneticPr fontId="18" type="noConversion"/>
  <conditionalFormatting sqref="D2:D200">
    <cfRule type="cellIs" dxfId="19" priority="4" operator="equal">
      <formula>$D$10</formula>
    </cfRule>
  </conditionalFormatting>
  <conditionalFormatting sqref="F2:F200">
    <cfRule type="cellIs" dxfId="18" priority="3" operator="equal">
      <formula>"异常/空"</formula>
    </cfRule>
  </conditionalFormatting>
  <conditionalFormatting sqref="L2:L200">
    <cfRule type="cellIs" dxfId="17" priority="2" operator="equal">
      <formula>"异常"</formula>
    </cfRule>
  </conditionalFormatting>
  <conditionalFormatting sqref="V2:V200">
    <cfRule type="cellIs" dxfId="13" priority="1" operator="equal">
      <formula>"异常"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323E-F319-44E7-9438-D7C48755F6FC}">
  <dimension ref="A3:E164"/>
  <sheetViews>
    <sheetView tabSelected="1" topLeftCell="C1" workbookViewId="0">
      <selection activeCell="E10" sqref="E10"/>
    </sheetView>
  </sheetViews>
  <sheetFormatPr defaultRowHeight="14.25" x14ac:dyDescent="0.2"/>
  <cols>
    <col min="1" max="1" width="62" bestFit="1" customWidth="1"/>
    <col min="2" max="2" width="15.625" bestFit="1" customWidth="1"/>
    <col min="4" max="4" width="62" bestFit="1" customWidth="1"/>
    <col min="5" max="5" width="26.875" style="7" bestFit="1" customWidth="1"/>
  </cols>
  <sheetData>
    <row r="3" spans="1:5" x14ac:dyDescent="0.2">
      <c r="A3" s="4" t="s">
        <v>1</v>
      </c>
      <c r="B3" t="s">
        <v>514</v>
      </c>
      <c r="D3" s="4" t="s">
        <v>1</v>
      </c>
      <c r="E3" s="7" t="s">
        <v>515</v>
      </c>
    </row>
    <row r="4" spans="1:5" x14ac:dyDescent="0.2">
      <c r="A4" s="5" t="s">
        <v>16</v>
      </c>
      <c r="B4" s="6">
        <v>6</v>
      </c>
      <c r="D4" s="5" t="s">
        <v>117</v>
      </c>
      <c r="E4" s="7">
        <v>97</v>
      </c>
    </row>
    <row r="5" spans="1:5" x14ac:dyDescent="0.2">
      <c r="A5" s="5" t="s">
        <v>22</v>
      </c>
      <c r="B5" s="6">
        <v>4</v>
      </c>
      <c r="D5" s="5" t="s">
        <v>51</v>
      </c>
      <c r="E5" s="7">
        <v>82</v>
      </c>
    </row>
    <row r="6" spans="1:5" x14ac:dyDescent="0.2">
      <c r="A6" s="5" t="s">
        <v>28</v>
      </c>
      <c r="B6" s="6">
        <v>3</v>
      </c>
      <c r="D6" s="5" t="s">
        <v>155</v>
      </c>
      <c r="E6" s="7">
        <v>78</v>
      </c>
    </row>
    <row r="7" spans="1:5" x14ac:dyDescent="0.2">
      <c r="A7" s="5" t="s">
        <v>34</v>
      </c>
      <c r="B7" s="6">
        <v>3</v>
      </c>
      <c r="D7" s="5" t="s">
        <v>143</v>
      </c>
      <c r="E7" s="7">
        <v>78</v>
      </c>
    </row>
    <row r="8" spans="1:5" x14ac:dyDescent="0.2">
      <c r="A8" s="5" t="s">
        <v>288</v>
      </c>
      <c r="B8" s="6">
        <v>3</v>
      </c>
      <c r="D8" s="5" t="s">
        <v>16</v>
      </c>
      <c r="E8" s="7">
        <v>77.166666666666671</v>
      </c>
    </row>
    <row r="9" spans="1:5" x14ac:dyDescent="0.2">
      <c r="A9" s="5" t="s">
        <v>102</v>
      </c>
      <c r="B9" s="6">
        <v>3</v>
      </c>
      <c r="D9" s="5" t="s">
        <v>309</v>
      </c>
      <c r="E9" s="7">
        <v>77</v>
      </c>
    </row>
    <row r="10" spans="1:5" x14ac:dyDescent="0.2">
      <c r="A10" s="5" t="s">
        <v>78</v>
      </c>
      <c r="B10" s="6">
        <v>3</v>
      </c>
      <c r="D10" s="5" t="s">
        <v>194</v>
      </c>
      <c r="E10" s="7">
        <v>77</v>
      </c>
    </row>
    <row r="11" spans="1:5" x14ac:dyDescent="0.2">
      <c r="A11" s="5" t="s">
        <v>244</v>
      </c>
      <c r="B11" s="6">
        <v>2</v>
      </c>
      <c r="D11" s="5" t="s">
        <v>285</v>
      </c>
      <c r="E11" s="7">
        <v>77</v>
      </c>
    </row>
    <row r="12" spans="1:5" x14ac:dyDescent="0.2">
      <c r="A12" s="5" t="s">
        <v>165</v>
      </c>
      <c r="B12" s="6">
        <v>2</v>
      </c>
      <c r="D12" s="5" t="s">
        <v>47</v>
      </c>
      <c r="E12" s="7">
        <v>76</v>
      </c>
    </row>
    <row r="13" spans="1:5" x14ac:dyDescent="0.2">
      <c r="A13" s="5" t="s">
        <v>72</v>
      </c>
      <c r="B13" s="6">
        <v>2</v>
      </c>
      <c r="D13" s="5" t="s">
        <v>244</v>
      </c>
      <c r="E13" s="7">
        <v>76</v>
      </c>
    </row>
    <row r="14" spans="1:5" x14ac:dyDescent="0.2">
      <c r="A14" s="5" t="s">
        <v>411</v>
      </c>
      <c r="B14" s="6">
        <v>2</v>
      </c>
      <c r="D14" s="5" t="s">
        <v>169</v>
      </c>
      <c r="E14" s="7">
        <v>73</v>
      </c>
    </row>
    <row r="15" spans="1:5" x14ac:dyDescent="0.2">
      <c r="A15" s="5" t="s">
        <v>187</v>
      </c>
      <c r="B15" s="6">
        <v>2</v>
      </c>
      <c r="D15" s="5" t="s">
        <v>41</v>
      </c>
      <c r="E15" s="7">
        <v>73</v>
      </c>
    </row>
    <row r="16" spans="1:5" x14ac:dyDescent="0.2">
      <c r="A16" s="5" t="s">
        <v>41</v>
      </c>
      <c r="B16" s="6">
        <v>2</v>
      </c>
      <c r="D16" s="5" t="s">
        <v>64</v>
      </c>
      <c r="E16" s="7">
        <v>73</v>
      </c>
    </row>
    <row r="17" spans="1:5" x14ac:dyDescent="0.2">
      <c r="A17" s="5" t="s">
        <v>26</v>
      </c>
      <c r="B17" s="6">
        <v>2</v>
      </c>
      <c r="D17" s="5" t="s">
        <v>22</v>
      </c>
      <c r="E17" s="7">
        <v>72</v>
      </c>
    </row>
    <row r="18" spans="1:5" x14ac:dyDescent="0.2">
      <c r="A18" s="5" t="s">
        <v>283</v>
      </c>
      <c r="B18" s="6">
        <v>2</v>
      </c>
      <c r="D18" s="5" t="s">
        <v>174</v>
      </c>
      <c r="E18" s="7">
        <v>70</v>
      </c>
    </row>
    <row r="19" spans="1:5" x14ac:dyDescent="0.2">
      <c r="A19" s="5" t="s">
        <v>232</v>
      </c>
      <c r="B19" s="6">
        <v>2</v>
      </c>
      <c r="D19" s="5" t="s">
        <v>146</v>
      </c>
      <c r="E19" s="7">
        <v>70</v>
      </c>
    </row>
    <row r="20" spans="1:5" x14ac:dyDescent="0.2">
      <c r="A20" s="5" t="s">
        <v>99</v>
      </c>
      <c r="B20" s="6">
        <v>2</v>
      </c>
      <c r="D20" s="5" t="s">
        <v>112</v>
      </c>
      <c r="E20" s="7">
        <v>70</v>
      </c>
    </row>
    <row r="21" spans="1:5" x14ac:dyDescent="0.2">
      <c r="A21" s="5" t="s">
        <v>184</v>
      </c>
      <c r="B21" s="6">
        <v>2</v>
      </c>
      <c r="D21" s="5" t="s">
        <v>338</v>
      </c>
      <c r="E21" s="7">
        <v>70</v>
      </c>
    </row>
    <row r="22" spans="1:5" x14ac:dyDescent="0.2">
      <c r="A22" s="5" t="s">
        <v>227</v>
      </c>
      <c r="B22" s="6">
        <v>2</v>
      </c>
      <c r="D22" s="5" t="s">
        <v>131</v>
      </c>
      <c r="E22" s="7">
        <v>70</v>
      </c>
    </row>
    <row r="23" spans="1:5" x14ac:dyDescent="0.2">
      <c r="A23" s="5" t="s">
        <v>67</v>
      </c>
      <c r="B23" s="6">
        <v>2</v>
      </c>
      <c r="D23" s="5" t="s">
        <v>234</v>
      </c>
      <c r="E23" s="7">
        <v>68</v>
      </c>
    </row>
    <row r="24" spans="1:5" x14ac:dyDescent="0.2">
      <c r="A24" s="5" t="s">
        <v>163</v>
      </c>
      <c r="B24" s="6">
        <v>2</v>
      </c>
      <c r="D24" s="5" t="s">
        <v>69</v>
      </c>
      <c r="E24" s="7">
        <v>68</v>
      </c>
    </row>
    <row r="25" spans="1:5" x14ac:dyDescent="0.2">
      <c r="A25" s="5" t="s">
        <v>87</v>
      </c>
      <c r="B25" s="6">
        <v>2</v>
      </c>
      <c r="D25" s="5" t="s">
        <v>424</v>
      </c>
      <c r="E25" s="7">
        <v>67</v>
      </c>
    </row>
    <row r="26" spans="1:5" x14ac:dyDescent="0.2">
      <c r="A26" s="5" t="s">
        <v>371</v>
      </c>
      <c r="B26" s="6">
        <v>2</v>
      </c>
      <c r="D26" s="5" t="s">
        <v>136</v>
      </c>
      <c r="E26" s="7">
        <v>67</v>
      </c>
    </row>
    <row r="27" spans="1:5" x14ac:dyDescent="0.2">
      <c r="A27" s="5" t="s">
        <v>110</v>
      </c>
      <c r="B27" s="6">
        <v>2</v>
      </c>
      <c r="D27" s="5" t="s">
        <v>427</v>
      </c>
      <c r="E27" s="7">
        <v>66</v>
      </c>
    </row>
    <row r="28" spans="1:5" x14ac:dyDescent="0.2">
      <c r="A28" s="5" t="s">
        <v>205</v>
      </c>
      <c r="B28" s="6">
        <v>2</v>
      </c>
      <c r="D28" s="5" t="s">
        <v>85</v>
      </c>
      <c r="E28" s="7">
        <v>66</v>
      </c>
    </row>
    <row r="29" spans="1:5" x14ac:dyDescent="0.2">
      <c r="A29" s="5" t="s">
        <v>97</v>
      </c>
      <c r="B29" s="6">
        <v>2</v>
      </c>
      <c r="D29" s="5" t="s">
        <v>213</v>
      </c>
      <c r="E29" s="7">
        <v>64</v>
      </c>
    </row>
    <row r="30" spans="1:5" x14ac:dyDescent="0.2">
      <c r="A30" s="5" t="s">
        <v>394</v>
      </c>
      <c r="B30" s="6">
        <v>2</v>
      </c>
      <c r="D30" s="5" t="s">
        <v>398</v>
      </c>
      <c r="E30" s="7">
        <v>64</v>
      </c>
    </row>
    <row r="31" spans="1:5" x14ac:dyDescent="0.2">
      <c r="A31" s="5" t="s">
        <v>38</v>
      </c>
      <c r="B31" s="6">
        <v>2</v>
      </c>
      <c r="D31" s="5" t="s">
        <v>78</v>
      </c>
      <c r="E31" s="7">
        <v>63.666666666666664</v>
      </c>
    </row>
    <row r="32" spans="1:5" x14ac:dyDescent="0.2">
      <c r="A32" s="5" t="s">
        <v>136</v>
      </c>
      <c r="B32" s="6">
        <v>1</v>
      </c>
      <c r="D32" s="5" t="s">
        <v>99</v>
      </c>
      <c r="E32" s="7">
        <v>63.5</v>
      </c>
    </row>
    <row r="33" spans="1:5" x14ac:dyDescent="0.2">
      <c r="A33" s="5" t="s">
        <v>234</v>
      </c>
      <c r="B33" s="6">
        <v>1</v>
      </c>
      <c r="D33" s="5" t="s">
        <v>138</v>
      </c>
      <c r="E33" s="7">
        <v>63</v>
      </c>
    </row>
    <row r="34" spans="1:5" x14ac:dyDescent="0.2">
      <c r="A34" s="5" t="s">
        <v>158</v>
      </c>
      <c r="B34" s="6">
        <v>1</v>
      </c>
      <c r="D34" s="5" t="s">
        <v>108</v>
      </c>
      <c r="E34" s="7">
        <v>63</v>
      </c>
    </row>
    <row r="35" spans="1:5" x14ac:dyDescent="0.2">
      <c r="A35" s="5" t="s">
        <v>200</v>
      </c>
      <c r="B35" s="6">
        <v>1</v>
      </c>
      <c r="D35" s="5" t="s">
        <v>230</v>
      </c>
      <c r="E35" s="7">
        <v>62</v>
      </c>
    </row>
    <row r="36" spans="1:5" x14ac:dyDescent="0.2">
      <c r="A36" s="5" t="s">
        <v>302</v>
      </c>
      <c r="B36" s="6">
        <v>1</v>
      </c>
      <c r="D36" s="5" t="s">
        <v>87</v>
      </c>
      <c r="E36" s="7">
        <v>62</v>
      </c>
    </row>
    <row r="37" spans="1:5" x14ac:dyDescent="0.2">
      <c r="A37" s="5" t="s">
        <v>385</v>
      </c>
      <c r="B37" s="6">
        <v>1</v>
      </c>
      <c r="D37" s="5" t="s">
        <v>387</v>
      </c>
      <c r="E37" s="7">
        <v>62</v>
      </c>
    </row>
    <row r="38" spans="1:5" x14ac:dyDescent="0.2">
      <c r="A38" s="5" t="s">
        <v>424</v>
      </c>
      <c r="B38" s="6">
        <v>1</v>
      </c>
      <c r="D38" s="5" t="s">
        <v>324</v>
      </c>
      <c r="E38" s="7">
        <v>62</v>
      </c>
    </row>
    <row r="39" spans="1:5" x14ac:dyDescent="0.2">
      <c r="A39" s="5" t="s">
        <v>434</v>
      </c>
      <c r="B39" s="6">
        <v>1</v>
      </c>
      <c r="D39" s="5" t="s">
        <v>380</v>
      </c>
      <c r="E39" s="7">
        <v>61</v>
      </c>
    </row>
    <row r="40" spans="1:5" x14ac:dyDescent="0.2">
      <c r="A40" s="5" t="s">
        <v>129</v>
      </c>
      <c r="B40" s="6">
        <v>1</v>
      </c>
      <c r="D40" s="5" t="s">
        <v>219</v>
      </c>
      <c r="E40" s="7">
        <v>60</v>
      </c>
    </row>
    <row r="41" spans="1:5" x14ac:dyDescent="0.2">
      <c r="A41" s="5" t="s">
        <v>382</v>
      </c>
      <c r="B41" s="6">
        <v>1</v>
      </c>
      <c r="D41" s="5" t="s">
        <v>302</v>
      </c>
      <c r="E41" s="7">
        <v>60</v>
      </c>
    </row>
    <row r="42" spans="1:5" x14ac:dyDescent="0.2">
      <c r="A42" s="5" t="s">
        <v>326</v>
      </c>
      <c r="B42" s="6">
        <v>1</v>
      </c>
      <c r="D42" s="5" t="s">
        <v>385</v>
      </c>
      <c r="E42" s="7">
        <v>60</v>
      </c>
    </row>
    <row r="43" spans="1:5" x14ac:dyDescent="0.2">
      <c r="A43" s="5" t="s">
        <v>271</v>
      </c>
      <c r="B43" s="6">
        <v>1</v>
      </c>
      <c r="D43" s="5" t="s">
        <v>409</v>
      </c>
      <c r="E43" s="7">
        <v>59</v>
      </c>
    </row>
    <row r="44" spans="1:5" x14ac:dyDescent="0.2">
      <c r="A44" s="5" t="s">
        <v>334</v>
      </c>
      <c r="B44" s="6">
        <v>1</v>
      </c>
      <c r="D44" s="5" t="s">
        <v>208</v>
      </c>
      <c r="E44" s="7">
        <v>59</v>
      </c>
    </row>
    <row r="45" spans="1:5" x14ac:dyDescent="0.2">
      <c r="A45" s="5" t="s">
        <v>124</v>
      </c>
      <c r="B45" s="6">
        <v>1</v>
      </c>
      <c r="D45" s="5" t="s">
        <v>54</v>
      </c>
      <c r="E45" s="7">
        <v>58</v>
      </c>
    </row>
    <row r="46" spans="1:5" x14ac:dyDescent="0.2">
      <c r="A46" s="5" t="s">
        <v>59</v>
      </c>
      <c r="B46" s="6">
        <v>1</v>
      </c>
      <c r="D46" s="5" t="s">
        <v>121</v>
      </c>
      <c r="E46" s="7">
        <v>58</v>
      </c>
    </row>
    <row r="47" spans="1:5" x14ac:dyDescent="0.2">
      <c r="A47" s="5" t="s">
        <v>214</v>
      </c>
      <c r="B47" s="6">
        <v>1</v>
      </c>
      <c r="D47" s="5" t="s">
        <v>246</v>
      </c>
      <c r="E47" s="7">
        <v>57</v>
      </c>
    </row>
    <row r="48" spans="1:5" x14ac:dyDescent="0.2">
      <c r="A48" s="5" t="s">
        <v>169</v>
      </c>
      <c r="B48" s="6">
        <v>1</v>
      </c>
      <c r="D48" s="5" t="s">
        <v>249</v>
      </c>
      <c r="E48" s="7">
        <v>57</v>
      </c>
    </row>
    <row r="49" spans="1:5" x14ac:dyDescent="0.2">
      <c r="A49" s="5" t="s">
        <v>242</v>
      </c>
      <c r="B49" s="6">
        <v>1</v>
      </c>
      <c r="D49" s="5" t="s">
        <v>30</v>
      </c>
      <c r="E49" s="7">
        <v>57</v>
      </c>
    </row>
    <row r="50" spans="1:5" x14ac:dyDescent="0.2">
      <c r="A50" s="5" t="s">
        <v>151</v>
      </c>
      <c r="B50" s="6">
        <v>1</v>
      </c>
      <c r="D50" s="5" t="s">
        <v>110</v>
      </c>
      <c r="E50" s="7">
        <v>57</v>
      </c>
    </row>
    <row r="51" spans="1:5" x14ac:dyDescent="0.2">
      <c r="A51" s="5" t="s">
        <v>396</v>
      </c>
      <c r="B51" s="6">
        <v>1</v>
      </c>
      <c r="D51" s="5" t="s">
        <v>34</v>
      </c>
      <c r="E51" s="7">
        <v>56</v>
      </c>
    </row>
    <row r="52" spans="1:5" x14ac:dyDescent="0.2">
      <c r="A52" s="5" t="s">
        <v>213</v>
      </c>
      <c r="B52" s="6">
        <v>1</v>
      </c>
      <c r="D52" s="5" t="s">
        <v>83</v>
      </c>
      <c r="E52" s="7">
        <v>56</v>
      </c>
    </row>
    <row r="53" spans="1:5" x14ac:dyDescent="0.2">
      <c r="A53" s="5" t="s">
        <v>374</v>
      </c>
      <c r="B53" s="6">
        <v>1</v>
      </c>
      <c r="D53" s="5" t="s">
        <v>67</v>
      </c>
      <c r="E53" s="7">
        <v>56</v>
      </c>
    </row>
    <row r="54" spans="1:5" x14ac:dyDescent="0.2">
      <c r="A54" s="5" t="s">
        <v>191</v>
      </c>
      <c r="B54" s="6">
        <v>1</v>
      </c>
      <c r="D54" s="5" t="s">
        <v>214</v>
      </c>
      <c r="E54" s="7">
        <v>56</v>
      </c>
    </row>
    <row r="55" spans="1:5" x14ac:dyDescent="0.2">
      <c r="A55" s="5" t="s">
        <v>344</v>
      </c>
      <c r="B55" s="6">
        <v>1</v>
      </c>
      <c r="D55" s="5" t="s">
        <v>346</v>
      </c>
      <c r="E55" s="7">
        <v>56</v>
      </c>
    </row>
    <row r="56" spans="1:5" x14ac:dyDescent="0.2">
      <c r="A56" s="5" t="s">
        <v>202</v>
      </c>
      <c r="B56" s="6">
        <v>1</v>
      </c>
      <c r="D56" s="5" t="s">
        <v>394</v>
      </c>
      <c r="E56" s="7">
        <v>56</v>
      </c>
    </row>
    <row r="57" spans="1:5" x14ac:dyDescent="0.2">
      <c r="A57" s="5" t="s">
        <v>348</v>
      </c>
      <c r="B57" s="6">
        <v>1</v>
      </c>
      <c r="D57" s="5" t="s">
        <v>26</v>
      </c>
      <c r="E57" s="7">
        <v>55</v>
      </c>
    </row>
    <row r="58" spans="1:5" x14ac:dyDescent="0.2">
      <c r="A58" s="5" t="s">
        <v>197</v>
      </c>
      <c r="B58" s="6">
        <v>1</v>
      </c>
      <c r="D58" s="5" t="s">
        <v>38</v>
      </c>
      <c r="E58" s="7">
        <v>54.5</v>
      </c>
    </row>
    <row r="59" spans="1:5" x14ac:dyDescent="0.2">
      <c r="A59" s="5" t="s">
        <v>407</v>
      </c>
      <c r="B59" s="6">
        <v>1</v>
      </c>
      <c r="D59" s="5" t="s">
        <v>172</v>
      </c>
      <c r="E59" s="7">
        <v>54</v>
      </c>
    </row>
    <row r="60" spans="1:5" x14ac:dyDescent="0.2">
      <c r="A60" s="5" t="s">
        <v>292</v>
      </c>
      <c r="B60" s="6">
        <v>1</v>
      </c>
      <c r="D60" s="5" t="s">
        <v>299</v>
      </c>
      <c r="E60" s="7">
        <v>54</v>
      </c>
    </row>
    <row r="61" spans="1:5" x14ac:dyDescent="0.2">
      <c r="A61" s="5" t="s">
        <v>264</v>
      </c>
      <c r="B61" s="6">
        <v>1</v>
      </c>
      <c r="D61" s="5" t="s">
        <v>28</v>
      </c>
      <c r="E61" s="7">
        <v>53</v>
      </c>
    </row>
    <row r="62" spans="1:5" x14ac:dyDescent="0.2">
      <c r="A62" s="5" t="s">
        <v>389</v>
      </c>
      <c r="B62" s="6">
        <v>1</v>
      </c>
      <c r="D62" s="5" t="s">
        <v>217</v>
      </c>
      <c r="E62" s="7">
        <v>52</v>
      </c>
    </row>
    <row r="63" spans="1:5" x14ac:dyDescent="0.2">
      <c r="A63" s="5" t="s">
        <v>319</v>
      </c>
      <c r="B63" s="6">
        <v>1</v>
      </c>
      <c r="D63" s="5" t="s">
        <v>329</v>
      </c>
      <c r="E63" s="7">
        <v>51</v>
      </c>
    </row>
    <row r="64" spans="1:5" x14ac:dyDescent="0.2">
      <c r="A64" s="5" t="s">
        <v>51</v>
      </c>
      <c r="B64" s="6">
        <v>1</v>
      </c>
      <c r="D64" s="5" t="s">
        <v>161</v>
      </c>
      <c r="E64" s="7">
        <v>51</v>
      </c>
    </row>
    <row r="65" spans="1:5" x14ac:dyDescent="0.2">
      <c r="A65" s="5" t="s">
        <v>355</v>
      </c>
      <c r="B65" s="6">
        <v>1</v>
      </c>
      <c r="D65" s="5" t="s">
        <v>326</v>
      </c>
      <c r="E65" s="7">
        <v>51</v>
      </c>
    </row>
    <row r="66" spans="1:5" x14ac:dyDescent="0.2">
      <c r="A66" s="5" t="s">
        <v>62</v>
      </c>
      <c r="B66" s="6">
        <v>1</v>
      </c>
      <c r="D66" s="5" t="s">
        <v>232</v>
      </c>
      <c r="E66" s="7">
        <v>51</v>
      </c>
    </row>
    <row r="67" spans="1:5" x14ac:dyDescent="0.2">
      <c r="A67" s="5" t="s">
        <v>277</v>
      </c>
      <c r="B67" s="6">
        <v>1</v>
      </c>
      <c r="D67" s="5" t="s">
        <v>114</v>
      </c>
      <c r="E67" s="7">
        <v>50</v>
      </c>
    </row>
    <row r="68" spans="1:5" x14ac:dyDescent="0.2">
      <c r="A68" s="5" t="s">
        <v>117</v>
      </c>
      <c r="B68" s="6">
        <v>1</v>
      </c>
      <c r="D68" s="5" t="s">
        <v>336</v>
      </c>
      <c r="E68" s="7">
        <v>50</v>
      </c>
    </row>
    <row r="69" spans="1:5" x14ac:dyDescent="0.2">
      <c r="A69" s="5" t="s">
        <v>350</v>
      </c>
      <c r="B69" s="6">
        <v>1</v>
      </c>
      <c r="D69" s="5" t="s">
        <v>163</v>
      </c>
      <c r="E69" s="7">
        <v>49</v>
      </c>
    </row>
    <row r="70" spans="1:5" x14ac:dyDescent="0.2">
      <c r="A70" s="5" t="s">
        <v>211</v>
      </c>
      <c r="B70" s="6">
        <v>1</v>
      </c>
      <c r="D70" s="5" t="s">
        <v>205</v>
      </c>
      <c r="E70" s="7">
        <v>49</v>
      </c>
    </row>
    <row r="71" spans="1:5" x14ac:dyDescent="0.2">
      <c r="A71" s="5" t="s">
        <v>299</v>
      </c>
      <c r="B71" s="6">
        <v>1</v>
      </c>
      <c r="D71" s="5" t="s">
        <v>255</v>
      </c>
      <c r="E71" s="7">
        <v>49</v>
      </c>
    </row>
    <row r="72" spans="1:5" x14ac:dyDescent="0.2">
      <c r="A72" s="5" t="s">
        <v>317</v>
      </c>
      <c r="B72" s="6">
        <v>1</v>
      </c>
      <c r="D72" s="5" t="s">
        <v>151</v>
      </c>
      <c r="E72" s="7">
        <v>49</v>
      </c>
    </row>
    <row r="73" spans="1:5" x14ac:dyDescent="0.2">
      <c r="A73" s="5" t="s">
        <v>108</v>
      </c>
      <c r="B73" s="6">
        <v>1</v>
      </c>
      <c r="D73" s="5" t="s">
        <v>167</v>
      </c>
      <c r="E73" s="7">
        <v>49</v>
      </c>
    </row>
    <row r="74" spans="1:5" x14ac:dyDescent="0.2">
      <c r="A74" s="5" t="s">
        <v>85</v>
      </c>
      <c r="B74" s="6">
        <v>1</v>
      </c>
      <c r="D74" s="5" t="s">
        <v>358</v>
      </c>
      <c r="E74" s="7">
        <v>49</v>
      </c>
    </row>
    <row r="75" spans="1:5" x14ac:dyDescent="0.2">
      <c r="A75" s="5" t="s">
        <v>364</v>
      </c>
      <c r="B75" s="6">
        <v>1</v>
      </c>
      <c r="D75" s="5" t="s">
        <v>129</v>
      </c>
      <c r="E75" s="7">
        <v>48</v>
      </c>
    </row>
    <row r="76" spans="1:5" x14ac:dyDescent="0.2">
      <c r="A76" s="5" t="s">
        <v>143</v>
      </c>
      <c r="B76" s="6">
        <v>1</v>
      </c>
      <c r="D76" s="5" t="s">
        <v>62</v>
      </c>
      <c r="E76" s="7">
        <v>48</v>
      </c>
    </row>
    <row r="77" spans="1:5" x14ac:dyDescent="0.2">
      <c r="A77" s="5" t="s">
        <v>239</v>
      </c>
      <c r="B77" s="6">
        <v>1</v>
      </c>
      <c r="D77" s="5" t="s">
        <v>252</v>
      </c>
      <c r="E77" s="7">
        <v>48</v>
      </c>
    </row>
    <row r="78" spans="1:5" x14ac:dyDescent="0.2">
      <c r="A78" s="5" t="s">
        <v>94</v>
      </c>
      <c r="B78" s="6">
        <v>1</v>
      </c>
      <c r="D78" s="5" t="s">
        <v>211</v>
      </c>
      <c r="E78" s="7">
        <v>48</v>
      </c>
    </row>
    <row r="79" spans="1:5" x14ac:dyDescent="0.2">
      <c r="A79" s="5" t="s">
        <v>225</v>
      </c>
      <c r="B79" s="6">
        <v>1</v>
      </c>
      <c r="D79" s="5" t="s">
        <v>242</v>
      </c>
      <c r="E79" s="7">
        <v>47</v>
      </c>
    </row>
    <row r="80" spans="1:5" x14ac:dyDescent="0.2">
      <c r="A80" s="5" t="s">
        <v>312</v>
      </c>
      <c r="B80" s="6">
        <v>1</v>
      </c>
      <c r="D80" s="5" t="s">
        <v>314</v>
      </c>
      <c r="E80" s="7">
        <v>47</v>
      </c>
    </row>
    <row r="81" spans="1:5" x14ac:dyDescent="0.2">
      <c r="A81" s="5" t="s">
        <v>440</v>
      </c>
      <c r="B81" s="6">
        <v>1</v>
      </c>
      <c r="D81" s="5" t="s">
        <v>261</v>
      </c>
      <c r="E81" s="7">
        <v>47</v>
      </c>
    </row>
    <row r="82" spans="1:5" x14ac:dyDescent="0.2">
      <c r="A82" s="5" t="s">
        <v>426</v>
      </c>
      <c r="B82" s="6">
        <v>1</v>
      </c>
      <c r="D82" s="5" t="s">
        <v>237</v>
      </c>
      <c r="E82" s="7">
        <v>47</v>
      </c>
    </row>
    <row r="83" spans="1:5" x14ac:dyDescent="0.2">
      <c r="A83" s="5" t="s">
        <v>274</v>
      </c>
      <c r="B83" s="6">
        <v>1</v>
      </c>
      <c r="D83" s="5" t="s">
        <v>382</v>
      </c>
      <c r="E83" s="7">
        <v>47</v>
      </c>
    </row>
    <row r="84" spans="1:5" x14ac:dyDescent="0.2">
      <c r="A84" s="5" t="s">
        <v>309</v>
      </c>
      <c r="B84" s="6">
        <v>1</v>
      </c>
      <c r="D84" s="5" t="s">
        <v>432</v>
      </c>
      <c r="E84" s="7">
        <v>47</v>
      </c>
    </row>
    <row r="85" spans="1:5" x14ac:dyDescent="0.2">
      <c r="A85" s="5" t="s">
        <v>290</v>
      </c>
      <c r="B85" s="6">
        <v>1</v>
      </c>
      <c r="D85" s="5" t="s">
        <v>124</v>
      </c>
      <c r="E85" s="7">
        <v>46</v>
      </c>
    </row>
    <row r="86" spans="1:5" x14ac:dyDescent="0.2">
      <c r="A86" s="5" t="s">
        <v>138</v>
      </c>
      <c r="B86" s="6">
        <v>1</v>
      </c>
      <c r="D86" s="5" t="s">
        <v>434</v>
      </c>
      <c r="E86" s="7">
        <v>46</v>
      </c>
    </row>
    <row r="87" spans="1:5" x14ac:dyDescent="0.2">
      <c r="A87" s="5" t="s">
        <v>414</v>
      </c>
      <c r="B87" s="6">
        <v>1</v>
      </c>
      <c r="D87" s="5" t="s">
        <v>407</v>
      </c>
      <c r="E87" s="7">
        <v>46</v>
      </c>
    </row>
    <row r="88" spans="1:5" x14ac:dyDescent="0.2">
      <c r="A88" s="5" t="s">
        <v>194</v>
      </c>
      <c r="B88" s="6">
        <v>1</v>
      </c>
      <c r="D88" s="5" t="s">
        <v>75</v>
      </c>
      <c r="E88" s="7">
        <v>46</v>
      </c>
    </row>
    <row r="89" spans="1:5" x14ac:dyDescent="0.2">
      <c r="A89" s="5" t="s">
        <v>352</v>
      </c>
      <c r="B89" s="6">
        <v>1</v>
      </c>
      <c r="D89" s="5" t="s">
        <v>44</v>
      </c>
      <c r="E89" s="7">
        <v>45</v>
      </c>
    </row>
    <row r="90" spans="1:5" x14ac:dyDescent="0.2">
      <c r="A90" s="5" t="s">
        <v>69</v>
      </c>
      <c r="B90" s="6">
        <v>1</v>
      </c>
      <c r="D90" s="5" t="s">
        <v>134</v>
      </c>
      <c r="E90" s="7">
        <v>45</v>
      </c>
    </row>
    <row r="91" spans="1:5" x14ac:dyDescent="0.2">
      <c r="A91" s="5" t="s">
        <v>362</v>
      </c>
      <c r="B91" s="6">
        <v>1</v>
      </c>
      <c r="D91" s="5" t="s">
        <v>344</v>
      </c>
      <c r="E91" s="7">
        <v>45</v>
      </c>
    </row>
    <row r="92" spans="1:5" x14ac:dyDescent="0.2">
      <c r="A92" s="5" t="s">
        <v>121</v>
      </c>
      <c r="B92" s="6">
        <v>1</v>
      </c>
      <c r="D92" s="5" t="s">
        <v>269</v>
      </c>
      <c r="E92" s="7">
        <v>44</v>
      </c>
    </row>
    <row r="93" spans="1:5" x14ac:dyDescent="0.2">
      <c r="A93" s="5" t="s">
        <v>314</v>
      </c>
      <c r="B93" s="6">
        <v>1</v>
      </c>
      <c r="D93" s="5" t="s">
        <v>176</v>
      </c>
      <c r="E93" s="7">
        <v>44</v>
      </c>
    </row>
    <row r="94" spans="1:5" x14ac:dyDescent="0.2">
      <c r="A94" s="5" t="s">
        <v>261</v>
      </c>
      <c r="B94" s="6">
        <v>1</v>
      </c>
      <c r="D94" s="5" t="s">
        <v>140</v>
      </c>
      <c r="E94" s="7">
        <v>44</v>
      </c>
    </row>
    <row r="95" spans="1:5" x14ac:dyDescent="0.2">
      <c r="A95" s="5" t="s">
        <v>419</v>
      </c>
      <c r="B95" s="6">
        <v>1</v>
      </c>
      <c r="D95" s="5" t="s">
        <v>200</v>
      </c>
      <c r="E95" s="7">
        <v>44</v>
      </c>
    </row>
    <row r="96" spans="1:5" x14ac:dyDescent="0.2">
      <c r="A96" s="5" t="s">
        <v>338</v>
      </c>
      <c r="B96" s="6">
        <v>1</v>
      </c>
      <c r="D96" s="5" t="s">
        <v>72</v>
      </c>
      <c r="E96" s="7">
        <v>44</v>
      </c>
    </row>
    <row r="97" spans="1:5" x14ac:dyDescent="0.2">
      <c r="A97" s="5" t="s">
        <v>368</v>
      </c>
      <c r="B97" s="6">
        <v>1</v>
      </c>
      <c r="D97" s="5" t="s">
        <v>222</v>
      </c>
      <c r="E97" s="7">
        <v>44</v>
      </c>
    </row>
    <row r="98" spans="1:5" x14ac:dyDescent="0.2">
      <c r="A98" s="5" t="s">
        <v>47</v>
      </c>
      <c r="B98" s="6">
        <v>1</v>
      </c>
      <c r="D98" s="5" t="s">
        <v>317</v>
      </c>
      <c r="E98" s="7">
        <v>44</v>
      </c>
    </row>
    <row r="99" spans="1:5" x14ac:dyDescent="0.2">
      <c r="A99" s="5" t="s">
        <v>134</v>
      </c>
      <c r="B99" s="6">
        <v>1</v>
      </c>
      <c r="D99" s="5" t="s">
        <v>187</v>
      </c>
      <c r="E99" s="7">
        <v>44</v>
      </c>
    </row>
    <row r="100" spans="1:5" x14ac:dyDescent="0.2">
      <c r="A100" s="5" t="s">
        <v>178</v>
      </c>
      <c r="B100" s="6">
        <v>1</v>
      </c>
      <c r="D100" s="5" t="s">
        <v>102</v>
      </c>
      <c r="E100" s="7">
        <v>43.666666666666664</v>
      </c>
    </row>
    <row r="101" spans="1:5" x14ac:dyDescent="0.2">
      <c r="A101" s="5" t="s">
        <v>249</v>
      </c>
      <c r="B101" s="6">
        <v>1</v>
      </c>
      <c r="D101" s="5" t="s">
        <v>178</v>
      </c>
      <c r="E101" s="7">
        <v>43</v>
      </c>
    </row>
    <row r="102" spans="1:5" x14ac:dyDescent="0.2">
      <c r="A102" s="5" t="s">
        <v>392</v>
      </c>
      <c r="B102" s="6">
        <v>1</v>
      </c>
      <c r="D102" s="5" t="s">
        <v>149</v>
      </c>
      <c r="E102" s="7">
        <v>43</v>
      </c>
    </row>
    <row r="103" spans="1:5" x14ac:dyDescent="0.2">
      <c r="A103" s="5" t="s">
        <v>44</v>
      </c>
      <c r="B103" s="6">
        <v>1</v>
      </c>
      <c r="D103" s="5" t="s">
        <v>158</v>
      </c>
      <c r="E103" s="7">
        <v>42</v>
      </c>
    </row>
    <row r="104" spans="1:5" x14ac:dyDescent="0.2">
      <c r="A104" s="5" t="s">
        <v>140</v>
      </c>
      <c r="B104" s="6">
        <v>1</v>
      </c>
      <c r="D104" s="5" t="s">
        <v>334</v>
      </c>
      <c r="E104" s="7">
        <v>42</v>
      </c>
    </row>
    <row r="105" spans="1:5" x14ac:dyDescent="0.2">
      <c r="A105" s="5" t="s">
        <v>346</v>
      </c>
      <c r="B105" s="6">
        <v>1</v>
      </c>
      <c r="D105" s="5" t="s">
        <v>97</v>
      </c>
      <c r="E105" s="7">
        <v>41</v>
      </c>
    </row>
    <row r="106" spans="1:5" x14ac:dyDescent="0.2">
      <c r="A106" s="5" t="s">
        <v>432</v>
      </c>
      <c r="B106" s="6">
        <v>1</v>
      </c>
      <c r="D106" s="5" t="s">
        <v>307</v>
      </c>
      <c r="E106" s="7">
        <v>41</v>
      </c>
    </row>
    <row r="107" spans="1:5" x14ac:dyDescent="0.2">
      <c r="A107" s="5" t="s">
        <v>146</v>
      </c>
      <c r="B107" s="6">
        <v>1</v>
      </c>
      <c r="D107" s="5" t="s">
        <v>426</v>
      </c>
      <c r="E107" s="7">
        <v>41</v>
      </c>
    </row>
    <row r="108" spans="1:5" x14ac:dyDescent="0.2">
      <c r="A108" s="5" t="s">
        <v>387</v>
      </c>
      <c r="B108" s="6">
        <v>1</v>
      </c>
      <c r="D108" s="5" t="s">
        <v>350</v>
      </c>
      <c r="E108" s="7">
        <v>40</v>
      </c>
    </row>
    <row r="109" spans="1:5" x14ac:dyDescent="0.2">
      <c r="A109" s="5" t="s">
        <v>324</v>
      </c>
      <c r="B109" s="6">
        <v>1</v>
      </c>
      <c r="D109" s="5" t="s">
        <v>421</v>
      </c>
      <c r="E109" s="7">
        <v>39</v>
      </c>
    </row>
    <row r="110" spans="1:5" x14ac:dyDescent="0.2">
      <c r="A110" s="5" t="s">
        <v>400</v>
      </c>
      <c r="B110" s="6">
        <v>1</v>
      </c>
      <c r="D110" s="5" t="s">
        <v>348</v>
      </c>
      <c r="E110" s="7">
        <v>39</v>
      </c>
    </row>
    <row r="111" spans="1:5" x14ac:dyDescent="0.2">
      <c r="A111" s="5" t="s">
        <v>285</v>
      </c>
      <c r="B111" s="6">
        <v>1</v>
      </c>
      <c r="D111" s="5" t="s">
        <v>258</v>
      </c>
      <c r="E111" s="7">
        <v>39</v>
      </c>
    </row>
    <row r="112" spans="1:5" x14ac:dyDescent="0.2">
      <c r="A112" s="5" t="s">
        <v>112</v>
      </c>
      <c r="B112" s="6">
        <v>1</v>
      </c>
      <c r="D112" s="5" t="s">
        <v>227</v>
      </c>
      <c r="E112" s="7">
        <v>38</v>
      </c>
    </row>
    <row r="113" spans="1:5" x14ac:dyDescent="0.2">
      <c r="A113" s="5" t="s">
        <v>342</v>
      </c>
      <c r="B113" s="6">
        <v>1</v>
      </c>
      <c r="D113" s="5" t="s">
        <v>355</v>
      </c>
      <c r="E113" s="7">
        <v>38</v>
      </c>
    </row>
    <row r="114" spans="1:5" x14ac:dyDescent="0.2">
      <c r="A114" s="5" t="s">
        <v>266</v>
      </c>
      <c r="B114" s="6">
        <v>1</v>
      </c>
      <c r="D114" s="5" t="s">
        <v>165</v>
      </c>
      <c r="E114" s="7">
        <v>38</v>
      </c>
    </row>
    <row r="115" spans="1:5" x14ac:dyDescent="0.2">
      <c r="A115" s="5" t="s">
        <v>430</v>
      </c>
      <c r="B115" s="6">
        <v>1</v>
      </c>
      <c r="D115" s="5" t="s">
        <v>190</v>
      </c>
      <c r="E115" s="7">
        <v>38</v>
      </c>
    </row>
    <row r="116" spans="1:5" x14ac:dyDescent="0.2">
      <c r="A116" s="5" t="s">
        <v>83</v>
      </c>
      <c r="B116" s="6">
        <v>1</v>
      </c>
      <c r="D116" s="5" t="s">
        <v>392</v>
      </c>
      <c r="E116" s="7">
        <v>38</v>
      </c>
    </row>
    <row r="117" spans="1:5" x14ac:dyDescent="0.2">
      <c r="A117" s="5" t="s">
        <v>75</v>
      </c>
      <c r="B117" s="6">
        <v>1</v>
      </c>
      <c r="D117" s="5" t="s">
        <v>332</v>
      </c>
      <c r="E117" s="7">
        <v>37</v>
      </c>
    </row>
    <row r="118" spans="1:5" x14ac:dyDescent="0.2">
      <c r="A118" s="5" t="s">
        <v>190</v>
      </c>
      <c r="B118" s="6">
        <v>1</v>
      </c>
      <c r="D118" s="5" t="s">
        <v>389</v>
      </c>
      <c r="E118" s="7">
        <v>37</v>
      </c>
    </row>
    <row r="119" spans="1:5" x14ac:dyDescent="0.2">
      <c r="A119" s="5" t="s">
        <v>246</v>
      </c>
      <c r="B119" s="6">
        <v>1</v>
      </c>
      <c r="D119" s="5" t="s">
        <v>91</v>
      </c>
      <c r="E119" s="7">
        <v>37</v>
      </c>
    </row>
    <row r="120" spans="1:5" x14ac:dyDescent="0.2">
      <c r="A120" s="5" t="s">
        <v>230</v>
      </c>
      <c r="B120" s="6">
        <v>1</v>
      </c>
      <c r="D120" s="5" t="s">
        <v>94</v>
      </c>
      <c r="E120" s="7">
        <v>37</v>
      </c>
    </row>
    <row r="121" spans="1:5" x14ac:dyDescent="0.2">
      <c r="A121" s="5" t="s">
        <v>91</v>
      </c>
      <c r="B121" s="6">
        <v>1</v>
      </c>
      <c r="D121" s="5" t="s">
        <v>290</v>
      </c>
      <c r="E121" s="7">
        <v>36</v>
      </c>
    </row>
    <row r="122" spans="1:5" x14ac:dyDescent="0.2">
      <c r="A122" s="5" t="s">
        <v>176</v>
      </c>
      <c r="B122" s="6">
        <v>1</v>
      </c>
      <c r="D122" s="5" t="s">
        <v>191</v>
      </c>
      <c r="E122" s="7">
        <v>36</v>
      </c>
    </row>
    <row r="123" spans="1:5" x14ac:dyDescent="0.2">
      <c r="A123" s="5" t="s">
        <v>409</v>
      </c>
      <c r="B123" s="6">
        <v>1</v>
      </c>
      <c r="D123" s="5" t="s">
        <v>411</v>
      </c>
      <c r="E123" s="7">
        <v>35</v>
      </c>
    </row>
    <row r="124" spans="1:5" x14ac:dyDescent="0.2">
      <c r="A124" s="5" t="s">
        <v>167</v>
      </c>
      <c r="B124" s="6">
        <v>1</v>
      </c>
      <c r="D124" s="5" t="s">
        <v>402</v>
      </c>
      <c r="E124" s="7">
        <v>35</v>
      </c>
    </row>
    <row r="125" spans="1:5" x14ac:dyDescent="0.2">
      <c r="A125" s="5" t="s">
        <v>398</v>
      </c>
      <c r="B125" s="6">
        <v>1</v>
      </c>
      <c r="D125" s="5" t="s">
        <v>352</v>
      </c>
      <c r="E125" s="7">
        <v>35</v>
      </c>
    </row>
    <row r="126" spans="1:5" x14ac:dyDescent="0.2">
      <c r="A126" s="5" t="s">
        <v>208</v>
      </c>
      <c r="B126" s="6">
        <v>1</v>
      </c>
      <c r="D126" s="5" t="s">
        <v>312</v>
      </c>
      <c r="E126" s="7">
        <v>34</v>
      </c>
    </row>
    <row r="127" spans="1:5" x14ac:dyDescent="0.2">
      <c r="A127" s="5" t="s">
        <v>54</v>
      </c>
      <c r="B127" s="6">
        <v>1</v>
      </c>
      <c r="D127" s="5" t="s">
        <v>404</v>
      </c>
      <c r="E127" s="7">
        <v>34</v>
      </c>
    </row>
    <row r="128" spans="1:5" x14ac:dyDescent="0.2">
      <c r="A128" s="5" t="s">
        <v>219</v>
      </c>
      <c r="B128" s="6">
        <v>1</v>
      </c>
      <c r="D128" s="5" t="s">
        <v>371</v>
      </c>
      <c r="E128" s="7">
        <v>34</v>
      </c>
    </row>
    <row r="129" spans="1:5" x14ac:dyDescent="0.2">
      <c r="A129" s="5" t="s">
        <v>295</v>
      </c>
      <c r="B129" s="6">
        <v>1</v>
      </c>
      <c r="D129" s="5" t="s">
        <v>364</v>
      </c>
      <c r="E129" s="7">
        <v>33</v>
      </c>
    </row>
    <row r="130" spans="1:5" x14ac:dyDescent="0.2">
      <c r="A130" s="5" t="s">
        <v>332</v>
      </c>
      <c r="B130" s="6">
        <v>1</v>
      </c>
      <c r="D130" s="5" t="s">
        <v>295</v>
      </c>
      <c r="E130" s="7">
        <v>33</v>
      </c>
    </row>
    <row r="131" spans="1:5" x14ac:dyDescent="0.2">
      <c r="A131" s="5" t="s">
        <v>114</v>
      </c>
      <c r="B131" s="6">
        <v>1</v>
      </c>
      <c r="D131" s="5" t="s">
        <v>184</v>
      </c>
      <c r="E131" s="7">
        <v>33</v>
      </c>
    </row>
    <row r="132" spans="1:5" x14ac:dyDescent="0.2">
      <c r="A132" s="5" t="s">
        <v>217</v>
      </c>
      <c r="B132" s="6">
        <v>1</v>
      </c>
      <c r="D132" s="5" t="s">
        <v>414</v>
      </c>
      <c r="E132" s="7">
        <v>32</v>
      </c>
    </row>
    <row r="133" spans="1:5" x14ac:dyDescent="0.2">
      <c r="A133" s="5" t="s">
        <v>149</v>
      </c>
      <c r="B133" s="6">
        <v>1</v>
      </c>
      <c r="D133" s="5" t="s">
        <v>362</v>
      </c>
      <c r="E133" s="7">
        <v>32</v>
      </c>
    </row>
    <row r="134" spans="1:5" x14ac:dyDescent="0.2">
      <c r="A134" s="5" t="s">
        <v>336</v>
      </c>
      <c r="B134" s="6">
        <v>1</v>
      </c>
      <c r="D134" s="5" t="s">
        <v>181</v>
      </c>
      <c r="E134" s="7">
        <v>32</v>
      </c>
    </row>
    <row r="135" spans="1:5" x14ac:dyDescent="0.2">
      <c r="A135" s="5" t="s">
        <v>404</v>
      </c>
      <c r="B135" s="6">
        <v>1</v>
      </c>
      <c r="D135" s="5" t="s">
        <v>277</v>
      </c>
      <c r="E135" s="7">
        <v>32</v>
      </c>
    </row>
    <row r="136" spans="1:5" x14ac:dyDescent="0.2">
      <c r="A136" s="5" t="s">
        <v>307</v>
      </c>
      <c r="B136" s="6">
        <v>1</v>
      </c>
      <c r="D136" s="5" t="s">
        <v>430</v>
      </c>
      <c r="E136" s="7">
        <v>31</v>
      </c>
    </row>
    <row r="137" spans="1:5" x14ac:dyDescent="0.2">
      <c r="A137" s="5" t="s">
        <v>321</v>
      </c>
      <c r="B137" s="6">
        <v>1</v>
      </c>
      <c r="D137" s="5" t="s">
        <v>374</v>
      </c>
      <c r="E137" s="7">
        <v>31</v>
      </c>
    </row>
    <row r="138" spans="1:5" x14ac:dyDescent="0.2">
      <c r="A138" s="5" t="s">
        <v>329</v>
      </c>
      <c r="B138" s="6">
        <v>1</v>
      </c>
      <c r="D138" s="5" t="s">
        <v>59</v>
      </c>
      <c r="E138" s="7">
        <v>30</v>
      </c>
    </row>
    <row r="139" spans="1:5" x14ac:dyDescent="0.2">
      <c r="A139" s="5" t="s">
        <v>269</v>
      </c>
      <c r="B139" s="6">
        <v>1</v>
      </c>
      <c r="D139" s="5" t="s">
        <v>280</v>
      </c>
      <c r="E139" s="7">
        <v>30</v>
      </c>
    </row>
    <row r="140" spans="1:5" x14ac:dyDescent="0.2">
      <c r="A140" s="5" t="s">
        <v>155</v>
      </c>
      <c r="B140" s="6">
        <v>1</v>
      </c>
      <c r="D140" s="5" t="s">
        <v>440</v>
      </c>
      <c r="E140" s="7">
        <v>30</v>
      </c>
    </row>
    <row r="141" spans="1:5" x14ac:dyDescent="0.2">
      <c r="A141" s="5" t="s">
        <v>421</v>
      </c>
      <c r="B141" s="6">
        <v>1</v>
      </c>
      <c r="D141" s="5" t="s">
        <v>288</v>
      </c>
      <c r="E141" s="7">
        <v>30</v>
      </c>
    </row>
    <row r="142" spans="1:5" x14ac:dyDescent="0.2">
      <c r="A142" s="5" t="s">
        <v>258</v>
      </c>
      <c r="B142" s="6">
        <v>1</v>
      </c>
      <c r="D142" s="5" t="s">
        <v>119</v>
      </c>
      <c r="E142" s="7">
        <v>29</v>
      </c>
    </row>
    <row r="143" spans="1:5" x14ac:dyDescent="0.2">
      <c r="A143" s="5" t="s">
        <v>105</v>
      </c>
      <c r="B143" s="6">
        <v>1</v>
      </c>
      <c r="D143" s="5" t="s">
        <v>321</v>
      </c>
      <c r="E143" s="7">
        <v>28</v>
      </c>
    </row>
    <row r="144" spans="1:5" x14ac:dyDescent="0.2">
      <c r="A144" s="5" t="s">
        <v>172</v>
      </c>
      <c r="B144" s="6">
        <v>1</v>
      </c>
      <c r="D144" s="5" t="s">
        <v>400</v>
      </c>
      <c r="E144" s="7">
        <v>27</v>
      </c>
    </row>
    <row r="145" spans="1:5" x14ac:dyDescent="0.2">
      <c r="A145" s="5" t="s">
        <v>181</v>
      </c>
      <c r="B145" s="6">
        <v>1</v>
      </c>
      <c r="D145" s="5" t="s">
        <v>283</v>
      </c>
      <c r="E145" s="7">
        <v>27</v>
      </c>
    </row>
    <row r="146" spans="1:5" x14ac:dyDescent="0.2">
      <c r="A146" s="5" t="s">
        <v>237</v>
      </c>
      <c r="B146" s="6">
        <v>1</v>
      </c>
      <c r="D146" s="5" t="s">
        <v>105</v>
      </c>
      <c r="E146" s="7">
        <v>27</v>
      </c>
    </row>
    <row r="147" spans="1:5" x14ac:dyDescent="0.2">
      <c r="A147" s="5" t="s">
        <v>280</v>
      </c>
      <c r="B147" s="6">
        <v>1</v>
      </c>
      <c r="D147" s="5" t="s">
        <v>197</v>
      </c>
      <c r="E147" s="7">
        <v>25</v>
      </c>
    </row>
    <row r="148" spans="1:5" x14ac:dyDescent="0.2">
      <c r="A148" s="5" t="s">
        <v>30</v>
      </c>
      <c r="B148" s="6">
        <v>1</v>
      </c>
      <c r="D148" s="5" t="s">
        <v>437</v>
      </c>
      <c r="E148" s="7">
        <v>24</v>
      </c>
    </row>
    <row r="149" spans="1:5" x14ac:dyDescent="0.2">
      <c r="A149" s="5" t="s">
        <v>402</v>
      </c>
      <c r="B149" s="6">
        <v>1</v>
      </c>
      <c r="D149" s="5" t="s">
        <v>264</v>
      </c>
      <c r="E149" s="7">
        <v>24</v>
      </c>
    </row>
    <row r="150" spans="1:5" x14ac:dyDescent="0.2">
      <c r="A150" s="5" t="s">
        <v>252</v>
      </c>
      <c r="B150" s="6">
        <v>1</v>
      </c>
      <c r="D150" s="5" t="s">
        <v>271</v>
      </c>
      <c r="E150" s="7">
        <v>22</v>
      </c>
    </row>
    <row r="151" spans="1:5" x14ac:dyDescent="0.2">
      <c r="A151" s="5" t="s">
        <v>119</v>
      </c>
      <c r="B151" s="6">
        <v>1</v>
      </c>
      <c r="D151" s="5" t="s">
        <v>377</v>
      </c>
      <c r="E151" s="7">
        <v>21</v>
      </c>
    </row>
    <row r="152" spans="1:5" x14ac:dyDescent="0.2">
      <c r="A152" s="5" t="s">
        <v>380</v>
      </c>
      <c r="B152" s="6">
        <v>1</v>
      </c>
      <c r="D152" s="5" t="s">
        <v>305</v>
      </c>
      <c r="E152" s="7">
        <v>20</v>
      </c>
    </row>
    <row r="153" spans="1:5" x14ac:dyDescent="0.2">
      <c r="A153" s="5" t="s">
        <v>255</v>
      </c>
      <c r="B153" s="6">
        <v>1</v>
      </c>
      <c r="D153" s="5" t="s">
        <v>342</v>
      </c>
      <c r="E153" s="7">
        <v>19</v>
      </c>
    </row>
    <row r="154" spans="1:5" x14ac:dyDescent="0.2">
      <c r="A154" s="5" t="s">
        <v>437</v>
      </c>
      <c r="B154" s="6">
        <v>1</v>
      </c>
      <c r="D154" s="5" t="s">
        <v>202</v>
      </c>
      <c r="E154" s="7">
        <v>19</v>
      </c>
    </row>
    <row r="155" spans="1:5" x14ac:dyDescent="0.2">
      <c r="A155" s="5" t="s">
        <v>174</v>
      </c>
      <c r="B155" s="6">
        <v>1</v>
      </c>
      <c r="D155" s="5" t="s">
        <v>396</v>
      </c>
      <c r="E155" s="7">
        <v>18</v>
      </c>
    </row>
    <row r="156" spans="1:5" x14ac:dyDescent="0.2">
      <c r="A156" s="5" t="s">
        <v>161</v>
      </c>
      <c r="B156" s="6">
        <v>1</v>
      </c>
      <c r="D156" s="5" t="s">
        <v>292</v>
      </c>
      <c r="E156" s="7">
        <v>18</v>
      </c>
    </row>
    <row r="157" spans="1:5" x14ac:dyDescent="0.2">
      <c r="A157" s="5" t="s">
        <v>358</v>
      </c>
      <c r="B157" s="6">
        <v>1</v>
      </c>
      <c r="D157" s="5" t="s">
        <v>274</v>
      </c>
      <c r="E157" s="7">
        <v>17</v>
      </c>
    </row>
    <row r="158" spans="1:5" x14ac:dyDescent="0.2">
      <c r="A158" s="5" t="s">
        <v>377</v>
      </c>
      <c r="B158" s="6">
        <v>1</v>
      </c>
      <c r="D158" s="5" t="s">
        <v>239</v>
      </c>
      <c r="E158" s="7">
        <v>16</v>
      </c>
    </row>
    <row r="159" spans="1:5" x14ac:dyDescent="0.2">
      <c r="A159" s="5" t="s">
        <v>64</v>
      </c>
      <c r="B159" s="6">
        <v>1</v>
      </c>
      <c r="D159" s="5" t="s">
        <v>319</v>
      </c>
      <c r="E159" s="7">
        <v>15</v>
      </c>
    </row>
    <row r="160" spans="1:5" x14ac:dyDescent="0.2">
      <c r="A160" s="5" t="s">
        <v>305</v>
      </c>
      <c r="B160" s="6">
        <v>1</v>
      </c>
      <c r="D160" s="5" t="s">
        <v>419</v>
      </c>
      <c r="E160" s="7">
        <v>14</v>
      </c>
    </row>
    <row r="161" spans="1:5" x14ac:dyDescent="0.2">
      <c r="A161" s="5" t="s">
        <v>427</v>
      </c>
      <c r="B161" s="6">
        <v>1</v>
      </c>
      <c r="D161" s="5" t="s">
        <v>225</v>
      </c>
      <c r="E161" s="7">
        <v>12</v>
      </c>
    </row>
    <row r="162" spans="1:5" x14ac:dyDescent="0.2">
      <c r="A162" s="5" t="s">
        <v>222</v>
      </c>
      <c r="B162" s="6">
        <v>1</v>
      </c>
      <c r="D162" s="5" t="s">
        <v>368</v>
      </c>
      <c r="E162" s="7">
        <v>8</v>
      </c>
    </row>
    <row r="163" spans="1:5" x14ac:dyDescent="0.2">
      <c r="A163" s="5" t="s">
        <v>131</v>
      </c>
      <c r="B163" s="6">
        <v>1</v>
      </c>
      <c r="D163" s="5" t="s">
        <v>266</v>
      </c>
    </row>
    <row r="164" spans="1:5" x14ac:dyDescent="0.2">
      <c r="A164" s="5" t="s">
        <v>513</v>
      </c>
      <c r="B164" s="6">
        <v>199</v>
      </c>
      <c r="D164" s="5" t="s">
        <v>513</v>
      </c>
      <c r="E164" s="7">
        <v>48.747474747474747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9053-309D-460D-84DA-AA84FF1501AE}">
  <dimension ref="A1:F16"/>
  <sheetViews>
    <sheetView zoomScaleNormal="100" workbookViewId="0">
      <selection activeCell="A16" sqref="A16:XFD16"/>
    </sheetView>
  </sheetViews>
  <sheetFormatPr defaultRowHeight="16.5" x14ac:dyDescent="0.3"/>
  <cols>
    <col min="1" max="1" width="17.625" style="2" bestFit="1" customWidth="1"/>
    <col min="2" max="2" width="40" style="2" customWidth="1"/>
    <col min="3" max="3" width="20.875" style="2" customWidth="1"/>
    <col min="4" max="4" width="31.125" style="2" customWidth="1"/>
    <col min="5" max="5" width="17.125" style="2" customWidth="1"/>
    <col min="6" max="6" width="97.625" style="2" customWidth="1"/>
    <col min="7" max="7" width="49.25" style="2" bestFit="1" customWidth="1"/>
    <col min="8" max="16384" width="9" style="2"/>
  </cols>
  <sheetData>
    <row r="1" spans="1:6" x14ac:dyDescent="0.3">
      <c r="A1" s="2" t="s">
        <v>443</v>
      </c>
      <c r="B1" s="3" t="s">
        <v>444</v>
      </c>
      <c r="C1" s="2" t="s">
        <v>471</v>
      </c>
      <c r="D1" s="2" t="s">
        <v>445</v>
      </c>
      <c r="E1" s="2" t="s">
        <v>446</v>
      </c>
      <c r="F1" s="2" t="s">
        <v>447</v>
      </c>
    </row>
    <row r="2" spans="1:6" x14ac:dyDescent="0.3">
      <c r="A2" s="2" t="s">
        <v>0</v>
      </c>
      <c r="B2" s="3" t="s">
        <v>448</v>
      </c>
      <c r="C2" s="2" t="s">
        <v>449</v>
      </c>
      <c r="D2" s="2" t="s">
        <v>450</v>
      </c>
      <c r="E2" s="2" t="s">
        <v>470</v>
      </c>
      <c r="F2" s="2" t="s">
        <v>461</v>
      </c>
    </row>
    <row r="3" spans="1:6" x14ac:dyDescent="0.3">
      <c r="A3" s="2" t="s">
        <v>1</v>
      </c>
      <c r="B3" s="3" t="s">
        <v>451</v>
      </c>
      <c r="C3" s="2" t="s">
        <v>449</v>
      </c>
      <c r="D3" s="2" t="s">
        <v>450</v>
      </c>
      <c r="E3" s="2" t="s">
        <v>452</v>
      </c>
      <c r="F3" s="3" t="s">
        <v>472</v>
      </c>
    </row>
    <row r="4" spans="1:6" x14ac:dyDescent="0.3">
      <c r="A4" s="2" t="s">
        <v>2</v>
      </c>
      <c r="B4" s="3" t="s">
        <v>492</v>
      </c>
      <c r="C4" s="2" t="s">
        <v>473</v>
      </c>
      <c r="D4" s="3" t="s">
        <v>474</v>
      </c>
      <c r="E4" s="3" t="s">
        <v>454</v>
      </c>
      <c r="F4" s="3" t="s">
        <v>475</v>
      </c>
    </row>
    <row r="5" spans="1:6" x14ac:dyDescent="0.3">
      <c r="A5" s="2" t="s">
        <v>3</v>
      </c>
      <c r="B5" s="3" t="s">
        <v>494</v>
      </c>
      <c r="C5" s="2" t="s">
        <v>453</v>
      </c>
      <c r="D5" s="3" t="s">
        <v>476</v>
      </c>
      <c r="E5" s="3" t="s">
        <v>455</v>
      </c>
      <c r="F5" s="3" t="s">
        <v>477</v>
      </c>
    </row>
    <row r="6" spans="1:6" x14ac:dyDescent="0.3">
      <c r="A6" s="2" t="s">
        <v>4</v>
      </c>
      <c r="B6" s="3" t="s">
        <v>493</v>
      </c>
      <c r="C6" s="2" t="s">
        <v>453</v>
      </c>
      <c r="D6" s="2" t="s">
        <v>456</v>
      </c>
      <c r="E6" s="2" t="s">
        <v>455</v>
      </c>
      <c r="F6" s="3" t="s">
        <v>478</v>
      </c>
    </row>
    <row r="7" spans="1:6" x14ac:dyDescent="0.3">
      <c r="A7" s="2" t="s">
        <v>5</v>
      </c>
      <c r="B7" s="3" t="s">
        <v>491</v>
      </c>
      <c r="C7" s="2" t="s">
        <v>457</v>
      </c>
      <c r="D7" s="2" t="s">
        <v>456</v>
      </c>
      <c r="E7" s="2" t="s">
        <v>455</v>
      </c>
      <c r="F7" s="3" t="s">
        <v>479</v>
      </c>
    </row>
    <row r="8" spans="1:6" x14ac:dyDescent="0.3">
      <c r="A8" s="2" t="s">
        <v>6</v>
      </c>
      <c r="B8" s="3" t="s">
        <v>496</v>
      </c>
      <c r="C8" s="2" t="s">
        <v>453</v>
      </c>
      <c r="D8" s="2" t="s">
        <v>456</v>
      </c>
      <c r="E8" s="2" t="s">
        <v>455</v>
      </c>
      <c r="F8" s="3" t="s">
        <v>480</v>
      </c>
    </row>
    <row r="9" spans="1:6" x14ac:dyDescent="0.3">
      <c r="A9" s="2" t="s">
        <v>7</v>
      </c>
      <c r="B9" s="3" t="s">
        <v>497</v>
      </c>
      <c r="C9" s="2" t="s">
        <v>457</v>
      </c>
      <c r="D9" s="2" t="s">
        <v>462</v>
      </c>
      <c r="E9" s="2" t="s">
        <v>455</v>
      </c>
      <c r="F9" s="3" t="s">
        <v>481</v>
      </c>
    </row>
    <row r="10" spans="1:6" x14ac:dyDescent="0.3">
      <c r="A10" s="2" t="s">
        <v>8</v>
      </c>
      <c r="B10" s="3" t="s">
        <v>498</v>
      </c>
      <c r="C10" s="2" t="s">
        <v>457</v>
      </c>
      <c r="D10" s="2" t="s">
        <v>456</v>
      </c>
      <c r="E10" s="2" t="s">
        <v>455</v>
      </c>
      <c r="F10" s="3" t="s">
        <v>482</v>
      </c>
    </row>
    <row r="11" spans="1:6" x14ac:dyDescent="0.3">
      <c r="A11" s="2" t="s">
        <v>9</v>
      </c>
      <c r="B11" s="3" t="s">
        <v>499</v>
      </c>
      <c r="C11" s="3" t="s">
        <v>457</v>
      </c>
      <c r="D11" s="3" t="s">
        <v>483</v>
      </c>
      <c r="E11" s="3" t="s">
        <v>455</v>
      </c>
      <c r="F11" s="3" t="s">
        <v>484</v>
      </c>
    </row>
    <row r="12" spans="1:6" x14ac:dyDescent="0.3">
      <c r="A12" s="2" t="s">
        <v>10</v>
      </c>
      <c r="B12" s="3" t="s">
        <v>500</v>
      </c>
      <c r="C12" s="2" t="s">
        <v>457</v>
      </c>
      <c r="D12" s="2" t="s">
        <v>458</v>
      </c>
      <c r="E12" s="2" t="s">
        <v>455</v>
      </c>
      <c r="F12" s="3" t="s">
        <v>485</v>
      </c>
    </row>
    <row r="13" spans="1:6" x14ac:dyDescent="0.3">
      <c r="A13" s="2" t="s">
        <v>11</v>
      </c>
      <c r="B13" s="3" t="s">
        <v>486</v>
      </c>
      <c r="C13" s="3" t="s">
        <v>459</v>
      </c>
      <c r="D13" s="3" t="s">
        <v>456</v>
      </c>
      <c r="E13" s="3" t="s">
        <v>455</v>
      </c>
      <c r="F13" s="3" t="s">
        <v>487</v>
      </c>
    </row>
    <row r="14" spans="1:6" x14ac:dyDescent="0.3">
      <c r="A14" s="2" t="s">
        <v>12</v>
      </c>
      <c r="B14" s="3" t="s">
        <v>501</v>
      </c>
      <c r="C14" s="2" t="s">
        <v>488</v>
      </c>
      <c r="D14" s="2" t="s">
        <v>460</v>
      </c>
      <c r="E14" s="2" t="s">
        <v>470</v>
      </c>
      <c r="F14" s="3" t="s">
        <v>489</v>
      </c>
    </row>
    <row r="15" spans="1:6" x14ac:dyDescent="0.3">
      <c r="A15" s="2" t="s">
        <v>13</v>
      </c>
      <c r="B15" s="3" t="s">
        <v>495</v>
      </c>
      <c r="C15" s="2" t="s">
        <v>468</v>
      </c>
      <c r="D15" s="2" t="s">
        <v>469</v>
      </c>
      <c r="E15" s="2" t="s">
        <v>470</v>
      </c>
      <c r="F15" s="3" t="s">
        <v>490</v>
      </c>
    </row>
    <row r="16" spans="1:6" x14ac:dyDescent="0.3">
      <c r="A16" s="2" t="s">
        <v>14</v>
      </c>
      <c r="B16" s="3" t="s">
        <v>467</v>
      </c>
      <c r="C16" s="2" t="s">
        <v>463</v>
      </c>
      <c r="D16" s="2" t="s">
        <v>464</v>
      </c>
      <c r="E16" s="2" t="s">
        <v>465</v>
      </c>
      <c r="F16" s="2" t="s">
        <v>466</v>
      </c>
    </row>
  </sheetData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89E02-DA6C-4D9F-B929-C55EB0C44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Raw_data</vt:lpstr>
      <vt:lpstr>pivot_check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Rajput</dc:creator>
  <cp:lastModifiedBy>浅亦 -</cp:lastModifiedBy>
  <dcterms:created xsi:type="dcterms:W3CDTF">2025-06-29T09:15:03Z</dcterms:created>
  <dcterms:modified xsi:type="dcterms:W3CDTF">2026-04-11T08:55:28Z</dcterms:modified>
</cp:coreProperties>
</file>